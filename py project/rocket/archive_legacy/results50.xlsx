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<sst xmlns="http://schemas.openxmlformats.org/spreadsheetml/2006/main" count="227" uniqueCount="98">
  <si>
    <t>cycle</t>
  </si>
  <si>
    <t>resultpm</t>
  </si>
  <si>
    <t>QL_pm</t>
  </si>
  <si>
    <t>最大飞行高度</t>
  </si>
  <si>
    <t>ACT</t>
  </si>
  <si>
    <t>LHS</t>
  </si>
  <si>
    <t>method</t>
  </si>
  <si>
    <t>result_ga_x1</t>
  </si>
  <si>
    <t>result_ga_x2</t>
  </si>
  <si>
    <t>result_ga_x3</t>
  </si>
  <si>
    <t>result_ga_x4</t>
  </si>
  <si>
    <t>result_ga_x5</t>
  </si>
  <si>
    <t>QL_value</t>
  </si>
  <si>
    <t>[5.423354209754647, 2.016041605338376, 0.26988025363884327, 33.25159013793008, 1.9189872537672368]</t>
  </si>
  <si>
    <t>最大值</t>
  </si>
  <si>
    <t>D_opt</t>
  </si>
  <si>
    <t>[6.369735613465309, 2.0362340211868286, 0.41492266952991486, 30.210106268525124, 1.9808138608932495]</t>
  </si>
  <si>
    <t>最小值</t>
  </si>
  <si>
    <t>[5.5328487251132685, 2.076883058442977, 0.26166428819399534, 30.060683758929372, 1.9180678715015194]</t>
  </si>
  <si>
    <t>中位数</t>
  </si>
  <si>
    <t>[5.7432220578193665, 2.0497925132513046, 0.21907806396484375, 34.11203075945377, 1.963075965642929]</t>
  </si>
  <si>
    <t>平均值</t>
  </si>
  <si>
    <t>[6.908533150472959, 2.0505772413713785, 0.40096880412875746, 31.270389966527524, 1.9765160481948079]</t>
  </si>
  <si>
    <t>Q1</t>
  </si>
  <si>
    <t>序号</t>
  </si>
  <si>
    <t>X1</t>
  </si>
  <si>
    <t>X2</t>
  </si>
  <si>
    <t>X3</t>
  </si>
  <si>
    <t>X4</t>
  </si>
  <si>
    <t>X5</t>
  </si>
  <si>
    <t>外形</t>
  </si>
  <si>
    <t>Y</t>
  </si>
  <si>
    <t>[12.162343263626099, 2.0573680847883224, 0.4397112876176834, 30.746156737208366, 1.9729653298854828]</t>
  </si>
  <si>
    <t>Q3</t>
  </si>
  <si>
    <t>PM</t>
  </si>
  <si>
    <t>[5.07374507188797, 2.044838562607765, 0.3164113014936447, 30.192162424325943, 1.9472337663173676]</t>
  </si>
  <si>
    <t>[5.407202571630478, 2.018176406621933, 0.2780885845422745, 39.27165548503399, 1.9522022306919098]</t>
  </si>
  <si>
    <t>QL</t>
  </si>
  <si>
    <t>[14.78296726888834, 2.059287518149757, 0.4554403802918307, 32.55572589057514, 1.9819132604949994]</t>
  </si>
  <si>
    <t>[2.5499849673360586, 2.084725463297218, 0.1393126007169485, 31.699071414768696, 1.9014615751802921]</t>
  </si>
  <si>
    <t>[1.8301870300828118, 2.02646468308386, 0.37882896650961895, 32.02831528263778, 1.9467038811276813]</t>
  </si>
  <si>
    <t>[2.1906841099262238, 2.0277486741542816, 0.14256954193115234, 37.73478701710701, 1.9765998125076294]</t>
  </si>
  <si>
    <t>[1.6461406555008384, 2.059131704494168, 0.13300902419969626, 33.34276250495798, 1.9863091611447306]</t>
  </si>
  <si>
    <t>[4.764478995941445, 2.012851166771725, 0.10337170884099563, 37.0847549954028, 1.9762025607712235]</t>
  </si>
  <si>
    <t>[11.535080324076453, 2.0510554181830796, 0.10131977414257186, 30.93972415983057, 1.9200218759477559]</t>
  </si>
  <si>
    <t>[1.8917580101514146, 2.0961682107192425, 0.2911953302414102, 33.630425979429766, 1.9737907090266087]</t>
  </si>
  <si>
    <t>[5.630185546557495, 2.070241898509561, 0.3264282039230946, 31.568589536473155, 1.8773517309904495]</t>
  </si>
  <si>
    <t>[4.622266518444193, 2.015727829610037, 0.17690877151405007, 36.31231250243276, 1.9575352443405718]</t>
  </si>
  <si>
    <t>[4.80586851661403, 2.0587341706931053, 0.22236495408155055, 34.459447590551456, 1.9443808138022751]</t>
  </si>
  <si>
    <t>[7.328542426228523, 2.032849609851837, 0.017848268151283264, 36.50350768864155, 1.9128971546888351]</t>
  </si>
  <si>
    <t>[1.2761022709310055, 2.023373551770175, 0.2718133277685158, 32.093042093335, 1.9133635624320091]</t>
  </si>
  <si>
    <t>[1.1826059465029395, 2.158575162263192, 0.14762482534218194, 32.599588670971706, 1.9612923920933598]</t>
  </si>
  <si>
    <t>[1.8785529909655452, 2.074278053452137, 0.2734836866099986, 32.300868248312625, 1.9348961751380869]</t>
  </si>
  <si>
    <t>[7.190947550060896, 2.0346217740108377, 0.3130598409639531, 30.917793007120626, 1.9908443994354457]</t>
  </si>
  <si>
    <t>[7.141717627644539, 2.045553997159004, 0.21612565219402313, 33.82127374410629, 1.9929540753364563]</t>
  </si>
  <si>
    <t>[7.69079767305644, 2.1590884562591364, 0.6177908904933088, 30.88441419919658, 1.947282030839126]</t>
  </si>
  <si>
    <t>[3.530338278907531, 2.0806534593483303, 0.13033972492816948, 30.27590514485143, 1.9833424508577249]</t>
  </si>
  <si>
    <t>[4.21503356517453, 2.070257836312619, 0.04306429182179272, 32.75657476863814, 1.9366167526848244]</t>
  </si>
  <si>
    <t>[2.1059615463018417, 2.0098379254341125, 0.3683832883834839, 30.395413175225258, 1.955795779824257]</t>
  </si>
  <si>
    <t>[4.328135643127941, 2.034407512230597, 0.11585187532846858, 31.792007834321595, 1.9927314510081786]</t>
  </si>
  <si>
    <t>resultlhs</t>
  </si>
  <si>
    <t>QL_lhs</t>
  </si>
  <si>
    <t>G_opt</t>
  </si>
  <si>
    <t>[3.8947877986356616, 2.1953031348530203, 0.020420063752681017, 41.472083395347, 1.7997513934969902]</t>
  </si>
  <si>
    <t>[8.225557315432148, 2.0861612268723486, 0.2709778540257887, 39.84215321875527, 1.9535824223421514]</t>
  </si>
  <si>
    <t>[5.9629159836068055, 2.115011056324445, 0.12008951557800174, 33.66584030531363, 1.89998589483189]</t>
  </si>
  <si>
    <t>[8.462577214259653, 2.062817899734562, 0.08645271417815868, 33.784655805027654, 1.8211578261485206]</t>
  </si>
  <si>
    <t>[2.2781043080613017, 2.0012116900179535, 0.3642493283841759, 30.419722879305482, 1.7766979169100523]</t>
  </si>
  <si>
    <t>[2.8145232711058927, 2.0961762486963296, 0.520395313884676, 31.213067340364788, 1.863629306379814]</t>
  </si>
  <si>
    <t>[7.687224277366604, 2.085449485309278, 0.18036841498830183, 37.229421331538504, 1.9142915020611166]</t>
  </si>
  <si>
    <t>[7.435453746014101, 2.1120593218006576, 0.1911364632241277, 34.540426434803805, 1.9589427805474449]</t>
  </si>
  <si>
    <t>[4.104521483182907, 2.066515803337097, 0.48398786783218384, 33.106582060456276, 1.920747548341751]</t>
  </si>
  <si>
    <t>总实验样本</t>
  </si>
  <si>
    <t>均值</t>
  </si>
  <si>
    <t>[7.2506566058261415, 2.0589516579794047, 0.17258234132145273, 36.293475523926524, 1.877698834680341]</t>
  </si>
  <si>
    <t>MH</t>
  </si>
  <si>
    <t>[1.449353814125061, 2.0421653985977173, 0.25342705845832825, 32.73326666653156, 1.8599821478128433]</t>
  </si>
  <si>
    <t>[2.229937826274664, 2.103502849773446, 0.17955182735683367, 39.255954521227125, 1.8891513802853632]</t>
  </si>
  <si>
    <t>[7.3474545317558295, 2.180513442518756, 0.21902581598975157, 31.669982448220253, 1.9405408179913777]</t>
  </si>
  <si>
    <t>[6.5111104691315616, 2.0676643526427245, 0.08382172719575465, 36.35895494038003, 1.9285480291873545]</t>
  </si>
  <si>
    <t>[6.212063802879958, 2.020368212980638, 0.21647189665373703, 38.67755308166256, 1.8363768359989432]</t>
  </si>
  <si>
    <t>CVT</t>
  </si>
  <si>
    <t>[1.7933259724912456, 2.0751891559519304, 0.2073496870028453, 38.65283290045014, 1.9067272122217818]</t>
  </si>
  <si>
    <t>[4.150312660523664, 2.0612671117490633, 0.4198929964756152, 31.94062623871907, 1.867064280136447]</t>
  </si>
  <si>
    <t>[3.3566724807024, 2.046222612261772, 0.2655790150165558, 30.76448903977871, 1.8778301030397415]</t>
  </si>
  <si>
    <t>[4.447227587919617, 2.0379391503957587, 0.37251745634689776, 31.134614873991396, 1.9253771310041188]</t>
  </si>
  <si>
    <t>[8.650307653586417, 2.05587948468641, 0.3537123391987925, 33.490920370057836, 1.9544016246218234]</t>
  </si>
  <si>
    <t>[5.742760413962346, 2.1871334013912334, 0.45402997404755563, 31.62926867728146, 1.9133642162196338]</t>
  </si>
  <si>
    <t>[4.29221473634243, 2.009765312075615, 0.17365936934947968, 36.24773548543453, 1.9148000329732895]</t>
  </si>
  <si>
    <t>[7.474036872386932, 2.092340663075447, 0.2467670738697052, 33.936458855867386, 1.970126435160637]</t>
  </si>
  <si>
    <t>[9.462792744705421, 2.0897684302736037, 0.20070445072594373, 34.78233645855896, 1.9206593753710286]</t>
  </si>
  <si>
    <t>[3.1239966731895943, 2.049121374074048, 0.5229856900689772, 31.79932298176133, 1.8637301276704985]</t>
  </si>
  <si>
    <t>[1.792804575451751, 2.2545225169058765, 0.5777124130985328, 32.03675439557159, 1.9035174634241725]</t>
  </si>
  <si>
    <t>[5.753916959692073, 2.067900957605487, 0.2594276406900015, 37.74371093289773, 1.938857277865341]</t>
  </si>
  <si>
    <t>[7.62331124286559, 2.0682226747144195, 0.1404408250839802, 38.531232806830566, 1.9343038865833786]</t>
  </si>
  <si>
    <t>[5.772895983319588, 2.1014348497962017, 0.20792060640740623, 34.26378542821778, 1.9767318161961784]</t>
  </si>
  <si>
    <t>[7.526329144835472, 2.149008959531784, 0.19422481954097748, 35.31599076092243, 1.976186141371727]</t>
  </si>
  <si>
    <t>K_means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</si>
</sst>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微软雅黑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strike val="0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1"/>
  <sheetViews>
    <sheetView tabSelected="1" zoomScale="115" zoomScaleNormal="115" topLeftCell="B4" workbookViewId="0">
      <selection activeCell="D51" sqref="B51:D51"/>
    </sheetView>
  </sheetViews>
  <sheetFormatPr defaultColWidth="9" defaultRowHeight="12.95"/>
  <cols>
    <col min="1" max="1" width="7.37391304347826" style="1" customWidth="1"/>
    <col min="2" max="2" width="111.504347826087" style="1" customWidth="1"/>
    <col min="3" max="3" width="12.7478260869565" style="1" customWidth="1"/>
    <col min="4" max="4" width="14.1217391304348" style="1" customWidth="1"/>
    <col min="5" max="5" width="13.7478260869565" style="1" customWidth="1"/>
    <col min="6" max="6" width="12.6260869565217" style="1" customWidth="1"/>
    <col min="7" max="7" width="12.6260869565217" style="2" customWidth="1"/>
    <col min="8" max="12" width="12.6260869565217" customWidth="1"/>
    <col min="13" max="15" width="12.6260869565217"/>
    <col min="16" max="16" width="12.6260869565217" style="1" customWidth="1"/>
    <col min="17" max="21" width="12.6260869565217" style="1"/>
    <col min="22" max="22" width="9" style="1"/>
    <col min="25" max="25" width="10.8782608695652" customWidth="1"/>
    <col min="26" max="26" width="9.37391304347826"/>
    <col min="27" max="27" width="12.6260869565217"/>
    <col min="29" max="29" width="9.37391304347826"/>
    <col min="31" max="31" width="10.3739130434783"/>
    <col min="35" max="35" width="10.3739130434783"/>
    <col min="37" max="37" width="9.37391304347826"/>
    <col min="43" max="47" width="15.3739130434783" customWidth="1"/>
    <col min="48" max="48" width="12.6260869565217" customWidth="1"/>
    <col min="49" max="49" width="12.8782608695652" customWidth="1"/>
  </cols>
  <sheetData>
    <row r="1" spans="1:49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1" t="s">
        <v>4</v>
      </c>
      <c r="G1" s="2" t="s">
        <v>5</v>
      </c>
      <c r="H1">
        <v>5.42335420975464</v>
      </c>
      <c r="I1">
        <v>2.01604160533837</v>
      </c>
      <c r="J1">
        <v>0.269880253638843</v>
      </c>
      <c r="K1">
        <v>33.25159013793</v>
      </c>
      <c r="L1">
        <v>1.91898725376723</v>
      </c>
      <c r="M1" s="1">
        <v>3304.06749141788</v>
      </c>
      <c r="N1" s="1">
        <v>381</v>
      </c>
      <c r="O1" s="1"/>
      <c r="P1" s="7">
        <v>5.4</v>
      </c>
      <c r="Q1" s="8">
        <v>2.02</v>
      </c>
      <c r="R1" s="8">
        <v>0.27</v>
      </c>
      <c r="S1" s="7">
        <v>33.3</v>
      </c>
      <c r="T1" s="8">
        <v>1.92</v>
      </c>
      <c r="U1" s="8">
        <v>3304.07</v>
      </c>
      <c r="V1" s="1">
        <v>381</v>
      </c>
      <c r="AO1" s="11" t="s">
        <v>0</v>
      </c>
      <c r="AP1" s="11" t="s">
        <v>6</v>
      </c>
      <c r="AQ1" s="11" t="s">
        <v>7</v>
      </c>
      <c r="AR1" s="11" t="s">
        <v>8</v>
      </c>
      <c r="AS1" s="11" t="s">
        <v>9</v>
      </c>
      <c r="AT1" s="11" t="s">
        <v>10</v>
      </c>
      <c r="AU1" s="11" t="s">
        <v>11</v>
      </c>
      <c r="AV1" s="11" t="s">
        <v>12</v>
      </c>
      <c r="AW1" s="1" t="s">
        <v>3</v>
      </c>
    </row>
    <row r="2" ht="15.8" spans="1:49">
      <c r="A2" s="1">
        <v>1</v>
      </c>
      <c r="B2" s="1" t="s">
        <v>13</v>
      </c>
      <c r="C2" s="1">
        <v>3304.06749141788</v>
      </c>
      <c r="D2" s="1">
        <v>381</v>
      </c>
      <c r="E2" s="4" t="s">
        <v>14</v>
      </c>
      <c r="F2" s="5">
        <f>MAX(D2:D31)</f>
        <v>391</v>
      </c>
      <c r="G2" s="5">
        <f>MAX(D33:D62)</f>
        <v>379</v>
      </c>
      <c r="H2">
        <v>6.3697356134653</v>
      </c>
      <c r="I2">
        <v>2.03623402118682</v>
      </c>
      <c r="J2">
        <v>0.414922669529914</v>
      </c>
      <c r="K2">
        <v>30.2101062685251</v>
      </c>
      <c r="L2">
        <v>1.98081386089324</v>
      </c>
      <c r="M2" s="1">
        <v>398.302887760381</v>
      </c>
      <c r="N2" s="1">
        <v>389</v>
      </c>
      <c r="O2" s="1"/>
      <c r="P2" s="7">
        <v>6.4</v>
      </c>
      <c r="Q2" s="8">
        <v>2.04</v>
      </c>
      <c r="R2" s="8">
        <v>0.41</v>
      </c>
      <c r="S2" s="7">
        <v>30.2</v>
      </c>
      <c r="T2" s="8">
        <v>1.98</v>
      </c>
      <c r="U2" s="8">
        <v>398.3</v>
      </c>
      <c r="V2" s="1">
        <v>389</v>
      </c>
      <c r="AO2" s="1">
        <v>1</v>
      </c>
      <c r="AP2" s="1" t="s">
        <v>15</v>
      </c>
      <c r="AQ2" s="1">
        <v>5.698035152659</v>
      </c>
      <c r="AR2" s="1">
        <v>2.02849545588598</v>
      </c>
      <c r="AS2" s="1">
        <v>0.189543594138373</v>
      </c>
      <c r="AT2" s="1">
        <v>41.0370574278514</v>
      </c>
      <c r="AU2" s="1">
        <v>1.82575417522114</v>
      </c>
      <c r="AV2" s="1">
        <v>5853.71176123968</v>
      </c>
      <c r="AW2" s="1">
        <v>345</v>
      </c>
    </row>
    <row r="3" ht="15.8" spans="1:49">
      <c r="A3" s="1">
        <v>2</v>
      </c>
      <c r="B3" s="1" t="s">
        <v>16</v>
      </c>
      <c r="C3" s="1">
        <v>398.302887760381</v>
      </c>
      <c r="D3" s="1">
        <v>389</v>
      </c>
      <c r="E3" s="6" t="s">
        <v>17</v>
      </c>
      <c r="F3" s="5">
        <f>MIN(D2:D31)</f>
        <v>303</v>
      </c>
      <c r="G3" s="5">
        <f>MIN(D33:D62)</f>
        <v>287</v>
      </c>
      <c r="H3">
        <v>5.53284872511326</v>
      </c>
      <c r="I3">
        <v>2.07688305844297</v>
      </c>
      <c r="J3">
        <v>0.261664288193995</v>
      </c>
      <c r="K3">
        <v>30.0606837589293</v>
      </c>
      <c r="L3">
        <v>1.91806787150151</v>
      </c>
      <c r="M3" s="1">
        <v>1118.44746205858</v>
      </c>
      <c r="N3" s="1">
        <v>373</v>
      </c>
      <c r="O3" s="1"/>
      <c r="P3" s="7">
        <v>5.5</v>
      </c>
      <c r="Q3" s="8">
        <v>2.08</v>
      </c>
      <c r="R3" s="8">
        <v>0.26</v>
      </c>
      <c r="S3" s="7">
        <v>30.1</v>
      </c>
      <c r="T3" s="8">
        <v>1.92</v>
      </c>
      <c r="U3" s="8">
        <v>1118.45</v>
      </c>
      <c r="V3" s="1">
        <v>373</v>
      </c>
      <c r="AO3" s="1">
        <v>2</v>
      </c>
      <c r="AP3" s="1" t="s">
        <v>15</v>
      </c>
      <c r="AQ3" s="1">
        <v>2.15362527873367</v>
      </c>
      <c r="AR3" s="1">
        <v>2.10445422888733</v>
      </c>
      <c r="AS3" s="1">
        <v>0.815306135220453</v>
      </c>
      <c r="AT3" s="1">
        <v>30.3396594384685</v>
      </c>
      <c r="AU3" s="1">
        <v>1.77078692987561</v>
      </c>
      <c r="AV3" s="1">
        <v>4295.78900398858</v>
      </c>
      <c r="AW3" s="1">
        <v>324</v>
      </c>
    </row>
    <row r="4" ht="15.8" spans="1:49">
      <c r="A4" s="1">
        <v>3</v>
      </c>
      <c r="B4" s="1" t="s">
        <v>18</v>
      </c>
      <c r="C4" s="1">
        <v>1118.44746205858</v>
      </c>
      <c r="D4" s="1">
        <v>373</v>
      </c>
      <c r="E4" s="4" t="s">
        <v>19</v>
      </c>
      <c r="F4" s="5">
        <f>MEDIAN(D2:D31)</f>
        <v>373</v>
      </c>
      <c r="G4" s="5">
        <f>MEDIAN(D33:D62)</f>
        <v>356</v>
      </c>
      <c r="H4">
        <v>5.74322205781936</v>
      </c>
      <c r="I4">
        <v>2.0497925132513</v>
      </c>
      <c r="J4">
        <v>0.219078063964843</v>
      </c>
      <c r="K4">
        <v>34.1120307594537</v>
      </c>
      <c r="L4">
        <v>1.96307596564292</v>
      </c>
      <c r="M4" s="1">
        <v>4798.05818412192</v>
      </c>
      <c r="N4" s="1">
        <v>379</v>
      </c>
      <c r="O4" s="1"/>
      <c r="P4" s="7">
        <v>5.7</v>
      </c>
      <c r="Q4" s="8">
        <v>2.05</v>
      </c>
      <c r="R4" s="8">
        <v>0.22</v>
      </c>
      <c r="S4" s="7">
        <v>34.1</v>
      </c>
      <c r="T4" s="8">
        <v>1.96</v>
      </c>
      <c r="U4" s="8">
        <v>4798.06</v>
      </c>
      <c r="V4" s="1">
        <v>379</v>
      </c>
      <c r="AO4" s="1">
        <v>3</v>
      </c>
      <c r="AP4" s="1" t="s">
        <v>15</v>
      </c>
      <c r="AQ4" s="1">
        <v>10.2370299012475</v>
      </c>
      <c r="AR4" s="1">
        <v>2.04651387762723</v>
      </c>
      <c r="AS4" s="1">
        <v>0.298495145183861</v>
      </c>
      <c r="AT4" s="1">
        <v>31.4293409231245</v>
      </c>
      <c r="AU4" s="1">
        <v>1.84584023278057</v>
      </c>
      <c r="AV4" s="1">
        <v>1076.50223593774</v>
      </c>
      <c r="AW4" s="1">
        <v>344</v>
      </c>
    </row>
    <row r="5" ht="15.8" spans="1:49">
      <c r="A5" s="1">
        <v>4</v>
      </c>
      <c r="B5" s="1" t="s">
        <v>20</v>
      </c>
      <c r="C5" s="1">
        <v>4798.05818412192</v>
      </c>
      <c r="D5" s="1">
        <v>379</v>
      </c>
      <c r="E5" s="4" t="s">
        <v>21</v>
      </c>
      <c r="F5" s="5">
        <f>AVERAGE(D2:D31)</f>
        <v>365.6</v>
      </c>
      <c r="G5" s="5">
        <f>AVERAGE(D33:D62)</f>
        <v>351.6</v>
      </c>
      <c r="H5">
        <v>6.90853315047295</v>
      </c>
      <c r="I5">
        <v>2.05057724137137</v>
      </c>
      <c r="J5">
        <v>0.400968804128757</v>
      </c>
      <c r="K5">
        <v>31.2703899665275</v>
      </c>
      <c r="L5">
        <v>1.9765160481948</v>
      </c>
      <c r="M5" s="1">
        <v>1491.19038144136</v>
      </c>
      <c r="N5" s="1">
        <v>382</v>
      </c>
      <c r="O5" s="1"/>
      <c r="P5" s="7">
        <v>6.9</v>
      </c>
      <c r="Q5" s="8">
        <v>2.05</v>
      </c>
      <c r="R5" s="8">
        <v>0.4</v>
      </c>
      <c r="S5" s="7">
        <v>31.3</v>
      </c>
      <c r="T5" s="8">
        <v>1.98</v>
      </c>
      <c r="U5" s="8">
        <v>1491.19</v>
      </c>
      <c r="V5" s="1">
        <v>382</v>
      </c>
      <c r="AO5" s="1">
        <v>4</v>
      </c>
      <c r="AP5" s="1" t="s">
        <v>15</v>
      </c>
      <c r="AQ5" s="1">
        <v>7.26100953295827</v>
      </c>
      <c r="AR5" s="1">
        <v>2.05885774921626</v>
      </c>
      <c r="AS5" s="1">
        <v>0.0709581482224166</v>
      </c>
      <c r="AT5" s="1">
        <v>32.1002784371376</v>
      </c>
      <c r="AU5" s="1">
        <v>1.58615895360708</v>
      </c>
      <c r="AV5" s="1">
        <v>7708.53910962911</v>
      </c>
      <c r="AW5" s="1">
        <v>321</v>
      </c>
    </row>
    <row r="6" ht="15.8" spans="1:49">
      <c r="A6" s="1">
        <v>5</v>
      </c>
      <c r="B6" s="1" t="s">
        <v>22</v>
      </c>
      <c r="C6" s="1">
        <v>1491.19038144136</v>
      </c>
      <c r="D6" s="1">
        <v>382</v>
      </c>
      <c r="E6" s="4" t="s">
        <v>23</v>
      </c>
      <c r="F6" s="5">
        <f>QUARTILE(D2:D31,1)</f>
        <v>348.25</v>
      </c>
      <c r="G6" s="5">
        <f>QUARTILE(D33:D62,1)</f>
        <v>347.25</v>
      </c>
      <c r="H6">
        <v>12.162343263626</v>
      </c>
      <c r="I6">
        <v>2.05736808478832</v>
      </c>
      <c r="J6">
        <v>0.439711287617683</v>
      </c>
      <c r="K6">
        <v>30.7461567372083</v>
      </c>
      <c r="L6">
        <v>1.97296532988548</v>
      </c>
      <c r="M6" s="1">
        <v>416.517091086447</v>
      </c>
      <c r="N6" s="1">
        <v>346</v>
      </c>
      <c r="O6" s="1"/>
      <c r="P6" s="7">
        <v>12.2</v>
      </c>
      <c r="Q6" s="8">
        <v>2.06</v>
      </c>
      <c r="R6" s="8">
        <v>0.44</v>
      </c>
      <c r="S6" s="7">
        <v>30.7</v>
      </c>
      <c r="T6" s="8">
        <v>1.97</v>
      </c>
      <c r="U6" s="8">
        <v>416.52</v>
      </c>
      <c r="V6" s="1">
        <v>346</v>
      </c>
      <c r="Y6" s="9" t="s">
        <v>24</v>
      </c>
      <c r="Z6" s="9" t="s">
        <v>25</v>
      </c>
      <c r="AA6" s="9"/>
      <c r="AB6" s="9" t="s">
        <v>26</v>
      </c>
      <c r="AC6" s="9"/>
      <c r="AD6" s="9" t="s">
        <v>27</v>
      </c>
      <c r="AE6" s="9"/>
      <c r="AF6" s="9" t="s">
        <v>28</v>
      </c>
      <c r="AG6" s="9"/>
      <c r="AH6" s="9" t="s">
        <v>29</v>
      </c>
      <c r="AI6" s="9"/>
      <c r="AJ6" s="9" t="s">
        <v>30</v>
      </c>
      <c r="AK6" s="9"/>
      <c r="AL6" s="9" t="s">
        <v>31</v>
      </c>
      <c r="AM6" s="9"/>
      <c r="AO6" s="1">
        <v>5</v>
      </c>
      <c r="AP6" s="1" t="s">
        <v>15</v>
      </c>
      <c r="AQ6" s="1">
        <v>4.21384848732553</v>
      </c>
      <c r="AR6" s="1">
        <v>2.04276873110725</v>
      </c>
      <c r="AS6" s="1">
        <v>0.337509581362302</v>
      </c>
      <c r="AT6" s="1">
        <v>37.6120765338004</v>
      </c>
      <c r="AU6" s="1">
        <v>1.92487848676993</v>
      </c>
      <c r="AV6" s="1">
        <v>4562.76830464631</v>
      </c>
      <c r="AW6" s="1">
        <v>364</v>
      </c>
    </row>
    <row r="7" ht="15.8" spans="1:49">
      <c r="A7" s="1">
        <v>6</v>
      </c>
      <c r="B7" s="1" t="s">
        <v>32</v>
      </c>
      <c r="C7" s="1">
        <v>416.517091086447</v>
      </c>
      <c r="D7" s="1">
        <v>346</v>
      </c>
      <c r="E7" s="4" t="s">
        <v>33</v>
      </c>
      <c r="F7" s="5">
        <f>QUARTILE(D2:D31,3)</f>
        <v>381.75</v>
      </c>
      <c r="G7" s="5">
        <f>QUARTILE(D33:D62,3)</f>
        <v>364.25</v>
      </c>
      <c r="H7">
        <v>5.07374507188797</v>
      </c>
      <c r="I7">
        <v>2.04483856260776</v>
      </c>
      <c r="J7">
        <v>0.316411301493644</v>
      </c>
      <c r="K7">
        <v>30.1921624243259</v>
      </c>
      <c r="L7">
        <v>1.94723376631736</v>
      </c>
      <c r="M7" s="1">
        <v>1007.93729680908</v>
      </c>
      <c r="N7" s="1">
        <v>384</v>
      </c>
      <c r="O7" s="1"/>
      <c r="P7" s="7">
        <v>5.1</v>
      </c>
      <c r="Q7" s="8">
        <v>2.04</v>
      </c>
      <c r="R7" s="8">
        <v>0.32</v>
      </c>
      <c r="S7" s="7">
        <v>30.2</v>
      </c>
      <c r="T7" s="8">
        <v>1.95</v>
      </c>
      <c r="U7" s="8">
        <v>1007.94</v>
      </c>
      <c r="V7" s="1">
        <v>384</v>
      </c>
      <c r="Y7" s="9"/>
      <c r="Z7" s="9" t="s">
        <v>5</v>
      </c>
      <c r="AA7" s="9" t="s">
        <v>34</v>
      </c>
      <c r="AB7" s="9" t="s">
        <v>5</v>
      </c>
      <c r="AC7" s="9" t="s">
        <v>34</v>
      </c>
      <c r="AD7" s="9" t="s">
        <v>5</v>
      </c>
      <c r="AE7" s="9" t="s">
        <v>34</v>
      </c>
      <c r="AF7" s="9" t="s">
        <v>5</v>
      </c>
      <c r="AG7" s="9" t="s">
        <v>34</v>
      </c>
      <c r="AH7" s="9" t="s">
        <v>5</v>
      </c>
      <c r="AI7" s="9" t="s">
        <v>34</v>
      </c>
      <c r="AJ7" s="9" t="s">
        <v>5</v>
      </c>
      <c r="AK7" s="9" t="s">
        <v>34</v>
      </c>
      <c r="AL7" s="9" t="s">
        <v>5</v>
      </c>
      <c r="AM7" s="9" t="s">
        <v>34</v>
      </c>
      <c r="AO7" s="1">
        <v>6</v>
      </c>
      <c r="AP7" s="1" t="s">
        <v>15</v>
      </c>
      <c r="AQ7" s="1">
        <v>11.4703982439064</v>
      </c>
      <c r="AR7" s="1">
        <v>2.0842585037385</v>
      </c>
      <c r="AS7" s="1">
        <v>0.124394410757715</v>
      </c>
      <c r="AT7" s="1">
        <v>34.3864203727106</v>
      </c>
      <c r="AU7" s="1">
        <v>1.92688067894206</v>
      </c>
      <c r="AV7" s="1">
        <v>4378.94306846344</v>
      </c>
      <c r="AW7" s="1">
        <v>355</v>
      </c>
    </row>
    <row r="8" spans="1:49">
      <c r="A8" s="1">
        <v>7</v>
      </c>
      <c r="B8" s="1" t="s">
        <v>35</v>
      </c>
      <c r="C8" s="1">
        <v>1007.93729680908</v>
      </c>
      <c r="D8" s="1">
        <v>384</v>
      </c>
      <c r="H8">
        <v>5.40720257163047</v>
      </c>
      <c r="I8">
        <v>2.01817640662193</v>
      </c>
      <c r="J8">
        <v>0.278088584542274</v>
      </c>
      <c r="K8">
        <v>39.2716554850339</v>
      </c>
      <c r="L8">
        <v>1.9522022306919</v>
      </c>
      <c r="M8" s="1">
        <v>3313.71350413884</v>
      </c>
      <c r="N8" s="1">
        <v>373</v>
      </c>
      <c r="O8" s="1"/>
      <c r="P8" s="7">
        <v>5.4</v>
      </c>
      <c r="Q8" s="8">
        <v>2.02</v>
      </c>
      <c r="R8" s="8">
        <v>0.28</v>
      </c>
      <c r="S8" s="7">
        <v>39.3</v>
      </c>
      <c r="T8" s="8">
        <v>1.95</v>
      </c>
      <c r="U8" s="8">
        <v>3313.71</v>
      </c>
      <c r="V8" s="1">
        <v>373</v>
      </c>
      <c r="Y8" s="1">
        <v>1</v>
      </c>
      <c r="Z8" s="7">
        <v>3.9</v>
      </c>
      <c r="AA8" s="7">
        <v>5.4</v>
      </c>
      <c r="AB8" s="8">
        <v>2.2</v>
      </c>
      <c r="AC8" s="8">
        <v>2.02</v>
      </c>
      <c r="AD8" s="8">
        <v>0.02</v>
      </c>
      <c r="AE8" s="8">
        <v>0.27</v>
      </c>
      <c r="AF8" s="7">
        <v>41.5</v>
      </c>
      <c r="AG8" s="7">
        <v>33.3</v>
      </c>
      <c r="AH8" s="8">
        <v>1.8</v>
      </c>
      <c r="AI8" s="8">
        <v>1.92</v>
      </c>
      <c r="AJ8" s="1">
        <v>0</v>
      </c>
      <c r="AK8" s="1">
        <v>0</v>
      </c>
      <c r="AL8" s="1">
        <v>287</v>
      </c>
      <c r="AM8" s="1">
        <v>381</v>
      </c>
      <c r="AO8" s="1">
        <v>7</v>
      </c>
      <c r="AP8" s="1" t="s">
        <v>15</v>
      </c>
      <c r="AQ8" s="1">
        <v>1.45580579526722</v>
      </c>
      <c r="AR8" s="1">
        <v>2.02897928608581</v>
      </c>
      <c r="AS8" s="1">
        <v>0.293801249470562</v>
      </c>
      <c r="AT8" s="1">
        <v>32.923978115432</v>
      </c>
      <c r="AU8" s="1">
        <v>1.88892731210217</v>
      </c>
      <c r="AV8" s="1">
        <v>1675.69809464117</v>
      </c>
      <c r="AW8" s="1">
        <v>337</v>
      </c>
    </row>
    <row r="9" spans="1:49">
      <c r="A9" s="1">
        <v>8</v>
      </c>
      <c r="B9" s="1" t="s">
        <v>36</v>
      </c>
      <c r="C9" s="1">
        <v>3313.71350413884</v>
      </c>
      <c r="D9" s="1">
        <v>373</v>
      </c>
      <c r="E9" s="1" t="s">
        <v>37</v>
      </c>
      <c r="H9">
        <v>14.7829672688883</v>
      </c>
      <c r="I9">
        <v>2.05928751814975</v>
      </c>
      <c r="J9">
        <v>0.45544038029183</v>
      </c>
      <c r="K9">
        <v>32.5557258905751</v>
      </c>
      <c r="L9">
        <v>1.98191326049499</v>
      </c>
      <c r="M9" s="1">
        <v>276.538418999699</v>
      </c>
      <c r="N9" s="1">
        <v>330</v>
      </c>
      <c r="O9" s="1"/>
      <c r="P9" s="7">
        <v>14.8</v>
      </c>
      <c r="Q9" s="8">
        <v>2.06</v>
      </c>
      <c r="R9" s="8">
        <v>0.46</v>
      </c>
      <c r="S9" s="7">
        <v>32.6</v>
      </c>
      <c r="T9" s="8">
        <v>1.98</v>
      </c>
      <c r="U9" s="8">
        <v>276.54</v>
      </c>
      <c r="V9" s="1">
        <v>330</v>
      </c>
      <c r="Y9" s="1">
        <v>2</v>
      </c>
      <c r="Z9" s="7">
        <v>8.2</v>
      </c>
      <c r="AA9" s="7">
        <v>6.4</v>
      </c>
      <c r="AB9" s="8">
        <v>2.09</v>
      </c>
      <c r="AC9" s="8">
        <v>2.04</v>
      </c>
      <c r="AD9" s="8">
        <v>0.27</v>
      </c>
      <c r="AE9" s="8">
        <v>0.41</v>
      </c>
      <c r="AF9" s="7">
        <v>39.8</v>
      </c>
      <c r="AG9" s="7">
        <v>30.2</v>
      </c>
      <c r="AH9" s="8">
        <v>1.95</v>
      </c>
      <c r="AI9" s="8">
        <v>1.98</v>
      </c>
      <c r="AJ9" s="1">
        <v>0</v>
      </c>
      <c r="AK9" s="1">
        <v>0</v>
      </c>
      <c r="AL9" s="1">
        <v>351</v>
      </c>
      <c r="AM9" s="1">
        <v>389</v>
      </c>
      <c r="AO9" s="1">
        <v>8</v>
      </c>
      <c r="AP9" s="1" t="s">
        <v>15</v>
      </c>
      <c r="AQ9" s="1">
        <v>8.08645242708366</v>
      </c>
      <c r="AR9" s="1">
        <v>2.11164440990737</v>
      </c>
      <c r="AS9" s="1">
        <v>0.518311848349969</v>
      </c>
      <c r="AT9" s="1">
        <v>37.621619888646</v>
      </c>
      <c r="AU9" s="1">
        <v>1.91793949482667</v>
      </c>
      <c r="AV9" s="1">
        <v>7856.07397344168</v>
      </c>
      <c r="AW9" s="1">
        <v>333</v>
      </c>
    </row>
    <row r="10" ht="15.8" spans="1:49">
      <c r="A10" s="1">
        <v>9</v>
      </c>
      <c r="B10" s="1" t="s">
        <v>38</v>
      </c>
      <c r="C10" s="1">
        <v>276.538418999699</v>
      </c>
      <c r="D10" s="1">
        <v>330</v>
      </c>
      <c r="E10" s="4" t="s">
        <v>14</v>
      </c>
      <c r="F10" s="1">
        <f>MAX(C2:C31)</f>
        <v>4798.05818412192</v>
      </c>
      <c r="G10" s="2">
        <f>MAX(C33:C62)</f>
        <v>13731.9456650623</v>
      </c>
      <c r="H10">
        <v>2.54998496733605</v>
      </c>
      <c r="I10">
        <v>2.08472546329721</v>
      </c>
      <c r="J10">
        <v>0.139312600716948</v>
      </c>
      <c r="K10">
        <v>31.6990714147686</v>
      </c>
      <c r="L10">
        <v>1.90146157518029</v>
      </c>
      <c r="M10" s="1">
        <v>2010.68260552089</v>
      </c>
      <c r="N10" s="1">
        <v>355</v>
      </c>
      <c r="O10" s="1"/>
      <c r="P10" s="7">
        <v>2.5</v>
      </c>
      <c r="Q10" s="8">
        <v>2.08</v>
      </c>
      <c r="R10" s="8">
        <v>0.14</v>
      </c>
      <c r="S10" s="7">
        <v>31.7</v>
      </c>
      <c r="T10" s="8">
        <v>1.9</v>
      </c>
      <c r="U10" s="8">
        <v>2010.68</v>
      </c>
      <c r="V10" s="1">
        <v>355</v>
      </c>
      <c r="Y10" s="1">
        <v>3</v>
      </c>
      <c r="Z10" s="7">
        <v>6</v>
      </c>
      <c r="AA10" s="7">
        <v>5.5</v>
      </c>
      <c r="AB10" s="8">
        <v>2.12</v>
      </c>
      <c r="AC10" s="8">
        <v>2.08</v>
      </c>
      <c r="AD10" s="8">
        <v>0.12</v>
      </c>
      <c r="AE10" s="8">
        <v>0.26</v>
      </c>
      <c r="AF10" s="7">
        <v>33.7</v>
      </c>
      <c r="AG10" s="7">
        <v>30.1</v>
      </c>
      <c r="AH10" s="8">
        <v>1.9</v>
      </c>
      <c r="AI10" s="8">
        <v>1.92</v>
      </c>
      <c r="AJ10" s="1">
        <v>0</v>
      </c>
      <c r="AK10" s="1">
        <v>0</v>
      </c>
      <c r="AL10" s="1">
        <v>356</v>
      </c>
      <c r="AM10" s="1">
        <v>373</v>
      </c>
      <c r="AO10" s="1">
        <v>9</v>
      </c>
      <c r="AP10" s="1" t="s">
        <v>15</v>
      </c>
      <c r="AQ10" s="1">
        <v>8.4888779660692</v>
      </c>
      <c r="AR10" s="1">
        <v>2.02650870162427</v>
      </c>
      <c r="AS10" s="1">
        <v>0.45613423009724</v>
      </c>
      <c r="AT10" s="1">
        <v>37.7866150649981</v>
      </c>
      <c r="AU10" s="1">
        <v>1.89894958359477</v>
      </c>
      <c r="AV10" s="1">
        <v>4355.04815840222</v>
      </c>
      <c r="AW10" s="1">
        <v>356</v>
      </c>
    </row>
    <row r="11" ht="14.4" spans="1:49">
      <c r="A11" s="1">
        <v>10</v>
      </c>
      <c r="B11" s="1" t="s">
        <v>39</v>
      </c>
      <c r="C11" s="1">
        <v>2010.68260552089</v>
      </c>
      <c r="D11" s="1">
        <v>355</v>
      </c>
      <c r="E11" s="6" t="s">
        <v>17</v>
      </c>
      <c r="F11" s="1">
        <f>MIN(C2:C31)</f>
        <v>91.7525954514229</v>
      </c>
      <c r="G11" s="2">
        <f>MIN(C33:C62)</f>
        <v>1279.43260226172</v>
      </c>
      <c r="H11">
        <v>1.83018703008281</v>
      </c>
      <c r="I11">
        <v>2.02646468308386</v>
      </c>
      <c r="J11">
        <v>0.378828966509618</v>
      </c>
      <c r="K11">
        <v>32.0283152826377</v>
      </c>
      <c r="L11">
        <v>1.94670388112768</v>
      </c>
      <c r="M11" s="1">
        <v>382.722228118862</v>
      </c>
      <c r="N11" s="1">
        <v>357</v>
      </c>
      <c r="O11" s="1"/>
      <c r="P11" s="7">
        <v>1.8</v>
      </c>
      <c r="Q11" s="8">
        <v>2.03</v>
      </c>
      <c r="R11" s="8">
        <v>0.38</v>
      </c>
      <c r="S11" s="7">
        <v>32</v>
      </c>
      <c r="T11" s="8">
        <v>1.95</v>
      </c>
      <c r="U11" s="8">
        <v>382.72</v>
      </c>
      <c r="V11" s="1">
        <v>357</v>
      </c>
      <c r="Y11" s="1">
        <v>4</v>
      </c>
      <c r="Z11" s="7">
        <v>8.5</v>
      </c>
      <c r="AA11" s="7">
        <v>5.7</v>
      </c>
      <c r="AB11" s="8">
        <v>2.06</v>
      </c>
      <c r="AC11" s="8">
        <v>2.05</v>
      </c>
      <c r="AD11" s="8">
        <v>0.09</v>
      </c>
      <c r="AE11" s="8">
        <v>0.22</v>
      </c>
      <c r="AF11" s="7">
        <v>33.8</v>
      </c>
      <c r="AG11" s="7">
        <v>34.1</v>
      </c>
      <c r="AH11" s="8">
        <v>1.82</v>
      </c>
      <c r="AI11" s="8">
        <v>1.96</v>
      </c>
      <c r="AJ11" s="1">
        <v>0</v>
      </c>
      <c r="AK11" s="1">
        <v>0</v>
      </c>
      <c r="AL11" s="1">
        <v>356</v>
      </c>
      <c r="AM11" s="1">
        <v>379</v>
      </c>
      <c r="AO11" s="1">
        <v>10</v>
      </c>
      <c r="AP11" s="1" t="s">
        <v>15</v>
      </c>
      <c r="AQ11" s="1">
        <v>6.7878517074104</v>
      </c>
      <c r="AR11" s="1">
        <v>2.14205661866103</v>
      </c>
      <c r="AS11" s="1">
        <v>0.201058118169751</v>
      </c>
      <c r="AT11" s="1">
        <v>39.990522234672</v>
      </c>
      <c r="AU11" s="1">
        <v>1.8963339230977</v>
      </c>
      <c r="AV11" s="1">
        <v>8484.54467149534</v>
      </c>
      <c r="AW11" s="1">
        <v>326</v>
      </c>
    </row>
    <row r="12" ht="15.8" spans="1:49">
      <c r="A12" s="1">
        <v>11</v>
      </c>
      <c r="B12" s="1" t="s">
        <v>40</v>
      </c>
      <c r="C12" s="1">
        <v>382.722228118862</v>
      </c>
      <c r="D12" s="1">
        <v>357</v>
      </c>
      <c r="E12" s="4" t="s">
        <v>19</v>
      </c>
      <c r="F12" s="1">
        <f>MEDIAN(C2:C31)</f>
        <v>1456.02884089861</v>
      </c>
      <c r="G12" s="2">
        <f>MEDIAN(C33:C62)</f>
        <v>4166.57519838099</v>
      </c>
      <c r="H12">
        <v>2.19068410992622</v>
      </c>
      <c r="I12">
        <v>2.02774867415428</v>
      </c>
      <c r="J12">
        <v>0.142569541931152</v>
      </c>
      <c r="K12">
        <v>37.734787017107</v>
      </c>
      <c r="L12">
        <v>1.97659981250762</v>
      </c>
      <c r="M12" s="1">
        <v>3617.00680980156</v>
      </c>
      <c r="N12" s="1">
        <v>360</v>
      </c>
      <c r="O12" s="1"/>
      <c r="P12" s="7">
        <v>2.2</v>
      </c>
      <c r="Q12" s="8">
        <v>2.03</v>
      </c>
      <c r="R12" s="8">
        <v>0.14</v>
      </c>
      <c r="S12" s="7">
        <v>37.7</v>
      </c>
      <c r="T12" s="8">
        <v>1.98</v>
      </c>
      <c r="U12" s="8">
        <v>3617.01</v>
      </c>
      <c r="V12" s="1">
        <v>360</v>
      </c>
      <c r="Y12" s="1">
        <v>5</v>
      </c>
      <c r="Z12" s="7">
        <v>2.3</v>
      </c>
      <c r="AA12" s="7">
        <v>6.9</v>
      </c>
      <c r="AB12" s="8">
        <v>2</v>
      </c>
      <c r="AC12" s="8">
        <v>2.05</v>
      </c>
      <c r="AD12" s="8">
        <v>0.36</v>
      </c>
      <c r="AE12" s="8">
        <v>0.4</v>
      </c>
      <c r="AF12" s="7">
        <v>30.4</v>
      </c>
      <c r="AG12" s="7">
        <v>31.3</v>
      </c>
      <c r="AH12" s="8">
        <v>1.78</v>
      </c>
      <c r="AI12" s="8">
        <v>1.98</v>
      </c>
      <c r="AJ12" s="1">
        <v>0</v>
      </c>
      <c r="AK12" s="1">
        <v>0</v>
      </c>
      <c r="AL12" s="1">
        <v>356</v>
      </c>
      <c r="AM12" s="1">
        <v>382</v>
      </c>
      <c r="AO12" s="1">
        <v>11</v>
      </c>
      <c r="AP12" s="1" t="s">
        <v>15</v>
      </c>
      <c r="AQ12" s="1">
        <v>0.676112449866874</v>
      </c>
      <c r="AR12" s="1">
        <v>2.26827428816597</v>
      </c>
      <c r="AS12" s="1">
        <v>0.0345347395632416</v>
      </c>
      <c r="AT12" s="1">
        <v>42.6941614258006</v>
      </c>
      <c r="AU12" s="1">
        <v>1.82239399175941</v>
      </c>
      <c r="AV12" s="1">
        <v>16217.1936123804</v>
      </c>
      <c r="AW12" s="1">
        <v>217</v>
      </c>
    </row>
    <row r="13" ht="15.8" spans="1:49">
      <c r="A13" s="1">
        <v>12</v>
      </c>
      <c r="B13" s="1" t="s">
        <v>41</v>
      </c>
      <c r="C13" s="1">
        <v>3617.00680980156</v>
      </c>
      <c r="D13" s="1">
        <v>360</v>
      </c>
      <c r="E13" s="4" t="s">
        <v>21</v>
      </c>
      <c r="F13" s="1">
        <f>AVERAGE(C2:C31)</f>
        <v>1908.09216012514</v>
      </c>
      <c r="G13" s="2">
        <f>AVERAGE(C33:C62)</f>
        <v>4496.26408798812</v>
      </c>
      <c r="H13">
        <v>1.64614065550083</v>
      </c>
      <c r="I13">
        <v>2.05913170449416</v>
      </c>
      <c r="J13">
        <v>0.133009024199696</v>
      </c>
      <c r="K13">
        <v>33.3427625049579</v>
      </c>
      <c r="L13">
        <v>1.98630916114473</v>
      </c>
      <c r="M13" s="1">
        <v>1174.32862144356</v>
      </c>
      <c r="N13" s="1">
        <v>346</v>
      </c>
      <c r="O13" s="1"/>
      <c r="P13" s="7">
        <v>1.6</v>
      </c>
      <c r="Q13" s="8">
        <v>2.06</v>
      </c>
      <c r="R13" s="8">
        <v>0.13</v>
      </c>
      <c r="S13" s="7">
        <v>33.3</v>
      </c>
      <c r="T13" s="8">
        <v>1.99</v>
      </c>
      <c r="U13" s="8">
        <v>1174.33</v>
      </c>
      <c r="V13" s="1">
        <v>346</v>
      </c>
      <c r="Y13" s="1">
        <v>6</v>
      </c>
      <c r="Z13" s="7">
        <v>2.8</v>
      </c>
      <c r="AA13" s="7">
        <v>12.2</v>
      </c>
      <c r="AB13" s="8">
        <v>2.1</v>
      </c>
      <c r="AC13" s="8">
        <v>2.06</v>
      </c>
      <c r="AD13" s="8">
        <v>0.52</v>
      </c>
      <c r="AE13" s="8">
        <v>0.44</v>
      </c>
      <c r="AF13" s="7">
        <v>31.2</v>
      </c>
      <c r="AG13" s="7">
        <v>30.7</v>
      </c>
      <c r="AH13" s="8">
        <v>1.86</v>
      </c>
      <c r="AI13" s="8">
        <v>1.97</v>
      </c>
      <c r="AJ13" s="1">
        <v>0</v>
      </c>
      <c r="AK13" s="1">
        <v>1</v>
      </c>
      <c r="AL13" s="1">
        <v>346</v>
      </c>
      <c r="AM13" s="1">
        <v>346</v>
      </c>
      <c r="AO13" s="1">
        <v>12</v>
      </c>
      <c r="AP13" s="1" t="s">
        <v>15</v>
      </c>
      <c r="AQ13" s="1">
        <v>7.00007079119461</v>
      </c>
      <c r="AR13" s="1">
        <v>2.06253131455742</v>
      </c>
      <c r="AS13" s="1">
        <v>0.246173801969773</v>
      </c>
      <c r="AT13" s="1">
        <v>33.0848367255252</v>
      </c>
      <c r="AU13" s="1">
        <v>1.93171755759977</v>
      </c>
      <c r="AV13" s="1">
        <v>2097.32453234271</v>
      </c>
      <c r="AW13" s="1">
        <v>372</v>
      </c>
    </row>
    <row r="14" ht="15.8" spans="1:49">
      <c r="A14" s="1">
        <v>13</v>
      </c>
      <c r="B14" s="1" t="s">
        <v>42</v>
      </c>
      <c r="C14" s="1">
        <v>1174.32862144356</v>
      </c>
      <c r="D14" s="1">
        <v>346</v>
      </c>
      <c r="E14" s="4" t="s">
        <v>23</v>
      </c>
      <c r="F14" s="1">
        <f>QUARTILE(C2:C31,1)</f>
        <v>1128.42276669737</v>
      </c>
      <c r="G14" s="2">
        <f>QUARTILE(C33:C62,1)</f>
        <v>2767.04316417248</v>
      </c>
      <c r="H14">
        <v>4.76447899594144</v>
      </c>
      <c r="I14">
        <v>2.01285116677172</v>
      </c>
      <c r="J14">
        <v>0.103371708840995</v>
      </c>
      <c r="K14">
        <v>37.0847549954028</v>
      </c>
      <c r="L14">
        <v>1.97620256077122</v>
      </c>
      <c r="M14" s="1">
        <v>2492.24458237783</v>
      </c>
      <c r="N14" s="1">
        <v>385</v>
      </c>
      <c r="O14" s="1"/>
      <c r="P14" s="7">
        <v>4.8</v>
      </c>
      <c r="Q14" s="8">
        <v>2.01</v>
      </c>
      <c r="R14" s="8">
        <v>0.1</v>
      </c>
      <c r="S14" s="7">
        <v>37.1</v>
      </c>
      <c r="T14" s="8">
        <v>1.98</v>
      </c>
      <c r="U14" s="8">
        <v>2492.24</v>
      </c>
      <c r="V14" s="1">
        <v>385</v>
      </c>
      <c r="Y14" s="1">
        <v>7</v>
      </c>
      <c r="Z14" s="7">
        <v>7.7</v>
      </c>
      <c r="AA14" s="7">
        <v>5.1</v>
      </c>
      <c r="AB14" s="8">
        <v>2.09</v>
      </c>
      <c r="AC14" s="8">
        <v>2.04</v>
      </c>
      <c r="AD14" s="8">
        <v>0.18</v>
      </c>
      <c r="AE14" s="8">
        <v>0.32</v>
      </c>
      <c r="AF14" s="7">
        <v>37.2</v>
      </c>
      <c r="AG14" s="7">
        <v>30.2</v>
      </c>
      <c r="AH14" s="8">
        <v>1.91</v>
      </c>
      <c r="AI14" s="8">
        <v>1.95</v>
      </c>
      <c r="AJ14" s="1">
        <v>0</v>
      </c>
      <c r="AK14" s="1">
        <v>0</v>
      </c>
      <c r="AL14" s="1">
        <v>354</v>
      </c>
      <c r="AM14" s="1">
        <v>384</v>
      </c>
      <c r="AO14" s="1">
        <v>13</v>
      </c>
      <c r="AP14" s="1" t="s">
        <v>15</v>
      </c>
      <c r="AQ14" s="1">
        <v>5.85328060388565</v>
      </c>
      <c r="AR14" s="1">
        <v>2.06267820298672</v>
      </c>
      <c r="AS14" s="1">
        <v>0.0640093386173248</v>
      </c>
      <c r="AT14" s="1">
        <v>38.446598008275</v>
      </c>
      <c r="AU14" s="1">
        <v>1.97261464595795</v>
      </c>
      <c r="AV14" s="1">
        <v>2033.47001874235</v>
      </c>
      <c r="AW14" s="1">
        <v>373</v>
      </c>
    </row>
    <row r="15" ht="15.8" spans="1:49">
      <c r="A15" s="1">
        <v>14</v>
      </c>
      <c r="B15" s="1" t="s">
        <v>43</v>
      </c>
      <c r="C15" s="1">
        <v>2492.24458237783</v>
      </c>
      <c r="D15" s="1">
        <v>385</v>
      </c>
      <c r="E15" s="4" t="s">
        <v>33</v>
      </c>
      <c r="F15" s="1">
        <f>QUARTILE(C2:C31,3)</f>
        <v>2967.72418140843</v>
      </c>
      <c r="G15" s="2">
        <f>QUARTILE(C33:C62,3)</f>
        <v>5655.16730706653</v>
      </c>
      <c r="H15">
        <v>11.5350803240764</v>
      </c>
      <c r="I15">
        <v>2.05105541818307</v>
      </c>
      <c r="J15">
        <v>0.101319774142571</v>
      </c>
      <c r="K15">
        <v>30.9397241598305</v>
      </c>
      <c r="L15">
        <v>1.92002187594775</v>
      </c>
      <c r="M15" s="1">
        <v>1158.34868061374</v>
      </c>
      <c r="N15" s="1">
        <v>373</v>
      </c>
      <c r="O15" s="1"/>
      <c r="P15" s="7">
        <v>11.5</v>
      </c>
      <c r="Q15" s="8">
        <v>2.05</v>
      </c>
      <c r="R15" s="8">
        <v>0.1</v>
      </c>
      <c r="S15" s="7">
        <v>30.9</v>
      </c>
      <c r="T15" s="8">
        <v>1.92</v>
      </c>
      <c r="U15" s="8">
        <v>1158.35</v>
      </c>
      <c r="V15" s="1">
        <v>373</v>
      </c>
      <c r="Y15" s="1">
        <v>8</v>
      </c>
      <c r="Z15" s="7">
        <v>7.4</v>
      </c>
      <c r="AA15" s="7">
        <v>5.4</v>
      </c>
      <c r="AB15" s="8">
        <v>2.11</v>
      </c>
      <c r="AC15" s="8">
        <v>2.02</v>
      </c>
      <c r="AD15" s="8">
        <v>0.19</v>
      </c>
      <c r="AE15" s="8">
        <v>0.28</v>
      </c>
      <c r="AF15" s="7">
        <v>34.5</v>
      </c>
      <c r="AG15" s="7">
        <v>39.3</v>
      </c>
      <c r="AH15" s="8">
        <v>1.96</v>
      </c>
      <c r="AI15" s="8">
        <v>1.95</v>
      </c>
      <c r="AJ15" s="1">
        <v>0</v>
      </c>
      <c r="AK15" s="1">
        <v>0</v>
      </c>
      <c r="AL15" s="1">
        <v>361</v>
      </c>
      <c r="AM15" s="1">
        <v>373</v>
      </c>
      <c r="AO15" s="1">
        <v>14</v>
      </c>
      <c r="AP15" s="1" t="s">
        <v>15</v>
      </c>
      <c r="AQ15" s="1">
        <v>9.86576265235458</v>
      </c>
      <c r="AR15" s="1">
        <v>2.10819340479643</v>
      </c>
      <c r="AS15" s="1">
        <v>0.457090890297671</v>
      </c>
      <c r="AT15" s="1">
        <v>34.2341874874096</v>
      </c>
      <c r="AU15" s="1">
        <v>1.83725772154582</v>
      </c>
      <c r="AV15" s="1">
        <v>5888.540492099</v>
      </c>
      <c r="AW15" s="1">
        <v>322</v>
      </c>
    </row>
    <row r="16" spans="1:49">
      <c r="A16" s="1">
        <v>15</v>
      </c>
      <c r="B16" s="1" t="s">
        <v>44</v>
      </c>
      <c r="C16" s="1">
        <v>1158.34868061374</v>
      </c>
      <c r="D16" s="1">
        <v>373</v>
      </c>
      <c r="H16">
        <v>1.89175801015141</v>
      </c>
      <c r="I16">
        <v>2.09616821071924</v>
      </c>
      <c r="J16">
        <v>0.29119533024141</v>
      </c>
      <c r="K16">
        <v>33.6304259794297</v>
      </c>
      <c r="L16">
        <v>1.9737907090266</v>
      </c>
      <c r="M16" s="1">
        <v>1571.62383145936</v>
      </c>
      <c r="N16" s="1">
        <v>343</v>
      </c>
      <c r="O16" s="1"/>
      <c r="P16" s="7">
        <v>1.9</v>
      </c>
      <c r="Q16" s="8">
        <v>2.1</v>
      </c>
      <c r="R16" s="8">
        <v>0.29</v>
      </c>
      <c r="S16" s="7">
        <v>33.6</v>
      </c>
      <c r="T16" s="8">
        <v>1.97</v>
      </c>
      <c r="U16" s="8">
        <v>1571.62</v>
      </c>
      <c r="V16" s="1">
        <v>343</v>
      </c>
      <c r="Y16" s="1">
        <v>9</v>
      </c>
      <c r="Z16" s="7">
        <v>4.1</v>
      </c>
      <c r="AA16" s="7">
        <v>14.8</v>
      </c>
      <c r="AB16" s="8">
        <v>2.07</v>
      </c>
      <c r="AC16" s="8">
        <v>2.06</v>
      </c>
      <c r="AD16" s="8">
        <v>0.48</v>
      </c>
      <c r="AE16" s="8">
        <v>0.46</v>
      </c>
      <c r="AF16" s="7">
        <v>33.1</v>
      </c>
      <c r="AG16" s="7">
        <v>32.6</v>
      </c>
      <c r="AH16" s="8">
        <v>1.92</v>
      </c>
      <c r="AI16" s="8">
        <v>1.98</v>
      </c>
      <c r="AJ16" s="1">
        <v>0</v>
      </c>
      <c r="AK16" s="1">
        <v>1</v>
      </c>
      <c r="AL16" s="1">
        <v>365</v>
      </c>
      <c r="AM16" s="1">
        <v>330</v>
      </c>
      <c r="AO16" s="1">
        <v>15</v>
      </c>
      <c r="AP16" s="1" t="s">
        <v>15</v>
      </c>
      <c r="AQ16" s="1">
        <v>2.81724934160952</v>
      </c>
      <c r="AR16" s="1">
        <v>2.24942280906</v>
      </c>
      <c r="AS16" s="1">
        <v>0.164172448217869</v>
      </c>
      <c r="AT16" s="1">
        <v>34.0643191480554</v>
      </c>
      <c r="AU16" s="1">
        <v>1.85985103100434</v>
      </c>
      <c r="AV16" s="1">
        <v>10397.9106644229</v>
      </c>
      <c r="AW16" s="1">
        <v>298</v>
      </c>
    </row>
    <row r="17" spans="1:49">
      <c r="A17" s="1">
        <v>16</v>
      </c>
      <c r="B17" s="1" t="s">
        <v>45</v>
      </c>
      <c r="C17" s="1">
        <v>1571.62383145936</v>
      </c>
      <c r="D17" s="1">
        <v>343</v>
      </c>
      <c r="H17">
        <v>5.63018554655749</v>
      </c>
      <c r="I17">
        <v>2.07024189850956</v>
      </c>
      <c r="J17">
        <v>0.326428203923094</v>
      </c>
      <c r="K17">
        <v>31.5685895364731</v>
      </c>
      <c r="L17">
        <v>1.87735173099044</v>
      </c>
      <c r="M17" s="1">
        <v>3070.12768201884</v>
      </c>
      <c r="N17" s="1">
        <v>362</v>
      </c>
      <c r="O17" s="1"/>
      <c r="P17" s="7">
        <v>5.6</v>
      </c>
      <c r="Q17" s="8">
        <v>2.07</v>
      </c>
      <c r="R17" s="8">
        <v>0.33</v>
      </c>
      <c r="S17" s="7">
        <v>31.6</v>
      </c>
      <c r="T17" s="8">
        <v>1.88</v>
      </c>
      <c r="U17" s="8">
        <v>3070.13</v>
      </c>
      <c r="V17" s="1">
        <v>362</v>
      </c>
      <c r="Y17" s="1">
        <v>10</v>
      </c>
      <c r="Z17" s="7">
        <v>7.3</v>
      </c>
      <c r="AA17" s="7">
        <v>2.5</v>
      </c>
      <c r="AB17" s="8">
        <v>2.06</v>
      </c>
      <c r="AC17" s="8">
        <v>2.08</v>
      </c>
      <c r="AD17" s="8">
        <v>0.17</v>
      </c>
      <c r="AE17" s="8">
        <v>0.14</v>
      </c>
      <c r="AF17" s="7">
        <v>36.3</v>
      </c>
      <c r="AG17" s="7">
        <v>31.7</v>
      </c>
      <c r="AH17" s="8">
        <v>1.88</v>
      </c>
      <c r="AI17" s="8">
        <v>1.9</v>
      </c>
      <c r="AJ17" s="1">
        <v>0</v>
      </c>
      <c r="AK17" s="1">
        <v>0</v>
      </c>
      <c r="AL17" s="1">
        <v>357</v>
      </c>
      <c r="AM17" s="1">
        <v>355</v>
      </c>
      <c r="AO17" s="1">
        <v>16</v>
      </c>
      <c r="AP17" s="1" t="s">
        <v>15</v>
      </c>
      <c r="AQ17" s="1">
        <v>8.86851192049905</v>
      </c>
      <c r="AR17" s="1">
        <v>2.14839420888772</v>
      </c>
      <c r="AS17" s="1">
        <v>0.327302671745244</v>
      </c>
      <c r="AT17" s="1">
        <v>38.5525569411323</v>
      </c>
      <c r="AU17" s="1">
        <v>1.93974927136401</v>
      </c>
      <c r="AV17" s="1">
        <v>9451.78149473712</v>
      </c>
      <c r="AW17" s="1">
        <v>328</v>
      </c>
    </row>
    <row r="18" spans="1:49">
      <c r="A18" s="1">
        <v>17</v>
      </c>
      <c r="B18" s="1" t="s">
        <v>46</v>
      </c>
      <c r="C18" s="1">
        <v>3070.12768201884</v>
      </c>
      <c r="D18" s="1">
        <v>362</v>
      </c>
      <c r="H18">
        <v>4.62226651844419</v>
      </c>
      <c r="I18">
        <v>2.01572782961003</v>
      </c>
      <c r="J18">
        <v>0.17690877151405</v>
      </c>
      <c r="K18">
        <v>36.3123125024327</v>
      </c>
      <c r="L18">
        <v>1.95753524434057</v>
      </c>
      <c r="M18" s="1">
        <v>3204.41523803595</v>
      </c>
      <c r="N18" s="1">
        <v>382</v>
      </c>
      <c r="O18" s="1"/>
      <c r="P18" s="7">
        <v>4.6</v>
      </c>
      <c r="Q18" s="8">
        <v>2.02</v>
      </c>
      <c r="R18" s="8">
        <v>0.18</v>
      </c>
      <c r="S18" s="7">
        <v>36.3</v>
      </c>
      <c r="T18" s="8">
        <v>1.96</v>
      </c>
      <c r="U18" s="8">
        <v>3204.42</v>
      </c>
      <c r="V18" s="1">
        <v>382</v>
      </c>
      <c r="Y18" s="1">
        <v>11</v>
      </c>
      <c r="Z18" s="7">
        <v>1.4</v>
      </c>
      <c r="AA18" s="7">
        <v>1.8</v>
      </c>
      <c r="AB18" s="8">
        <v>2.04</v>
      </c>
      <c r="AC18" s="8">
        <v>2.03</v>
      </c>
      <c r="AD18" s="8">
        <v>0.25</v>
      </c>
      <c r="AE18" s="8">
        <v>0.38</v>
      </c>
      <c r="AF18" s="7">
        <v>32.7</v>
      </c>
      <c r="AG18" s="7">
        <v>32</v>
      </c>
      <c r="AH18" s="8">
        <v>1.86</v>
      </c>
      <c r="AI18" s="8">
        <v>1.95</v>
      </c>
      <c r="AJ18" s="1">
        <v>0</v>
      </c>
      <c r="AK18" s="1">
        <v>0</v>
      </c>
      <c r="AL18" s="1">
        <v>331</v>
      </c>
      <c r="AM18" s="1">
        <v>357</v>
      </c>
      <c r="AO18" s="1">
        <v>17</v>
      </c>
      <c r="AP18" s="1" t="s">
        <v>15</v>
      </c>
      <c r="AQ18" s="1">
        <v>5.10319546110893</v>
      </c>
      <c r="AR18" s="1">
        <v>2.15195975829767</v>
      </c>
      <c r="AS18" s="1">
        <v>0.413834308352395</v>
      </c>
      <c r="AT18" s="1">
        <v>32.5171812575192</v>
      </c>
      <c r="AU18" s="1">
        <v>1.87146998206096</v>
      </c>
      <c r="AV18" s="1">
        <v>5710.99256651669</v>
      </c>
      <c r="AW18" s="1">
        <v>334</v>
      </c>
    </row>
    <row r="19" spans="1:49">
      <c r="A19" s="1">
        <v>18</v>
      </c>
      <c r="B19" s="1" t="s">
        <v>47</v>
      </c>
      <c r="C19" s="1">
        <v>3204.41523803595</v>
      </c>
      <c r="D19" s="1">
        <v>382</v>
      </c>
      <c r="H19">
        <v>4.80586851661403</v>
      </c>
      <c r="I19">
        <v>2.0587341706931</v>
      </c>
      <c r="J19">
        <v>0.22236495408155</v>
      </c>
      <c r="K19">
        <v>34.4594475905514</v>
      </c>
      <c r="L19">
        <v>1.94438081380227</v>
      </c>
      <c r="M19" s="1">
        <v>2431.55349561505</v>
      </c>
      <c r="N19" s="1">
        <v>372</v>
      </c>
      <c r="O19" s="1"/>
      <c r="P19" s="7">
        <v>4.8</v>
      </c>
      <c r="Q19" s="8">
        <v>2.06</v>
      </c>
      <c r="R19" s="8">
        <v>0.22</v>
      </c>
      <c r="S19" s="7">
        <v>34.5</v>
      </c>
      <c r="T19" s="8">
        <v>1.94</v>
      </c>
      <c r="U19" s="8">
        <v>2431.55</v>
      </c>
      <c r="V19" s="1">
        <v>372</v>
      </c>
      <c r="Y19" s="1">
        <v>12</v>
      </c>
      <c r="Z19" s="7">
        <v>2.2</v>
      </c>
      <c r="AA19" s="7">
        <v>2.2</v>
      </c>
      <c r="AB19" s="8">
        <v>2.1</v>
      </c>
      <c r="AC19" s="8">
        <v>2.03</v>
      </c>
      <c r="AD19" s="8">
        <v>0.18</v>
      </c>
      <c r="AE19" s="8">
        <v>0.14</v>
      </c>
      <c r="AF19" s="7">
        <v>39.3</v>
      </c>
      <c r="AG19" s="7">
        <v>37.7</v>
      </c>
      <c r="AH19" s="8">
        <v>1.89</v>
      </c>
      <c r="AI19" s="8">
        <v>1.98</v>
      </c>
      <c r="AJ19" s="1">
        <v>0</v>
      </c>
      <c r="AK19" s="1">
        <v>0</v>
      </c>
      <c r="AL19" s="1">
        <v>325</v>
      </c>
      <c r="AM19" s="1">
        <v>360</v>
      </c>
      <c r="AO19" s="1">
        <v>18</v>
      </c>
      <c r="AP19" s="1" t="s">
        <v>15</v>
      </c>
      <c r="AQ19" s="1">
        <v>4.95066605508327</v>
      </c>
      <c r="AR19" s="1">
        <v>2.10109047591686</v>
      </c>
      <c r="AS19" s="1">
        <v>0.353000462055206</v>
      </c>
      <c r="AT19" s="1">
        <v>35.7214450091124</v>
      </c>
      <c r="AU19" s="1">
        <v>1.9346344769001</v>
      </c>
      <c r="AV19" s="1">
        <v>4897.25286531598</v>
      </c>
      <c r="AW19" s="1">
        <v>354</v>
      </c>
    </row>
    <row r="20" spans="1:49">
      <c r="A20" s="1">
        <v>19</v>
      </c>
      <c r="B20" s="1" t="s">
        <v>48</v>
      </c>
      <c r="C20" s="1">
        <v>2431.55349561505</v>
      </c>
      <c r="D20" s="1">
        <v>372</v>
      </c>
      <c r="H20">
        <v>7.32854242622852</v>
      </c>
      <c r="I20">
        <v>2.03284960985183</v>
      </c>
      <c r="J20">
        <v>0.0178482681512832</v>
      </c>
      <c r="K20">
        <v>36.5035076886415</v>
      </c>
      <c r="L20">
        <v>1.91289715468883</v>
      </c>
      <c r="M20" s="1">
        <v>4077.11770538915</v>
      </c>
      <c r="N20" s="1">
        <v>378</v>
      </c>
      <c r="O20" s="1"/>
      <c r="P20" s="7">
        <v>7.3</v>
      </c>
      <c r="Q20" s="8">
        <v>2.03</v>
      </c>
      <c r="R20" s="8">
        <v>0.02</v>
      </c>
      <c r="S20" s="7">
        <v>36.5</v>
      </c>
      <c r="T20" s="8">
        <v>1.91</v>
      </c>
      <c r="U20" s="8">
        <v>4077.12</v>
      </c>
      <c r="V20" s="1">
        <v>378</v>
      </c>
      <c r="Y20" s="1">
        <v>13</v>
      </c>
      <c r="Z20" s="7">
        <v>7.3</v>
      </c>
      <c r="AA20" s="7">
        <v>1.6</v>
      </c>
      <c r="AB20" s="8">
        <v>2.18</v>
      </c>
      <c r="AC20" s="8">
        <v>2.06</v>
      </c>
      <c r="AD20" s="8">
        <v>0.22</v>
      </c>
      <c r="AE20" s="8">
        <v>0.13</v>
      </c>
      <c r="AF20" s="7">
        <v>31.7</v>
      </c>
      <c r="AG20" s="7">
        <v>33.3</v>
      </c>
      <c r="AH20" s="8">
        <v>1.94</v>
      </c>
      <c r="AI20" s="8">
        <v>1.99</v>
      </c>
      <c r="AJ20" s="1">
        <v>0</v>
      </c>
      <c r="AK20" s="1">
        <v>0</v>
      </c>
      <c r="AL20" s="1">
        <v>345</v>
      </c>
      <c r="AM20" s="1">
        <v>346</v>
      </c>
      <c r="AO20" s="1">
        <v>19</v>
      </c>
      <c r="AP20" s="1" t="s">
        <v>15</v>
      </c>
      <c r="AQ20" s="1">
        <v>7.02111517064296</v>
      </c>
      <c r="AR20" s="1">
        <v>2.25501761616889</v>
      </c>
      <c r="AS20" s="1">
        <v>0.286645913889377</v>
      </c>
      <c r="AT20" s="1">
        <v>31.9682858744636</v>
      </c>
      <c r="AU20" s="1">
        <v>1.9369917430801</v>
      </c>
      <c r="AV20" s="1">
        <v>6625.92637267576</v>
      </c>
      <c r="AW20" s="1">
        <v>319</v>
      </c>
    </row>
    <row r="21" spans="1:49">
      <c r="A21" s="1">
        <v>20</v>
      </c>
      <c r="B21" s="1" t="s">
        <v>49</v>
      </c>
      <c r="C21" s="1">
        <v>4077.11770538915</v>
      </c>
      <c r="D21" s="1">
        <v>378</v>
      </c>
      <c r="H21">
        <v>1.276102270931</v>
      </c>
      <c r="I21">
        <v>2.02337355177017</v>
      </c>
      <c r="J21">
        <v>0.271813327768515</v>
      </c>
      <c r="K21">
        <v>32.093042093335</v>
      </c>
      <c r="L21">
        <v>1.913363562432</v>
      </c>
      <c r="M21" s="1">
        <v>1315.7673906277</v>
      </c>
      <c r="N21" s="1">
        <v>334</v>
      </c>
      <c r="O21" s="1"/>
      <c r="P21" s="7">
        <v>1.3</v>
      </c>
      <c r="Q21" s="8">
        <v>2.02</v>
      </c>
      <c r="R21" s="8">
        <v>0.27</v>
      </c>
      <c r="S21" s="7">
        <v>32.1</v>
      </c>
      <c r="T21" s="8">
        <v>1.91</v>
      </c>
      <c r="U21" s="8">
        <v>1315.77</v>
      </c>
      <c r="V21" s="1">
        <v>334</v>
      </c>
      <c r="Y21" s="1">
        <v>14</v>
      </c>
      <c r="Z21" s="7">
        <v>6.5</v>
      </c>
      <c r="AA21" s="7">
        <v>4.8</v>
      </c>
      <c r="AB21" s="8">
        <v>2.07</v>
      </c>
      <c r="AC21" s="8">
        <v>2.01</v>
      </c>
      <c r="AD21" s="8">
        <v>0.08</v>
      </c>
      <c r="AE21" s="8">
        <v>0.1</v>
      </c>
      <c r="AF21" s="7">
        <v>36.4</v>
      </c>
      <c r="AG21" s="7">
        <v>37.1</v>
      </c>
      <c r="AH21" s="8">
        <v>1.93</v>
      </c>
      <c r="AI21" s="8">
        <v>1.98</v>
      </c>
      <c r="AJ21" s="1">
        <v>0</v>
      </c>
      <c r="AK21" s="1">
        <v>0</v>
      </c>
      <c r="AL21" s="1">
        <v>369</v>
      </c>
      <c r="AM21" s="1">
        <v>385</v>
      </c>
      <c r="AO21" s="1">
        <v>20</v>
      </c>
      <c r="AP21" s="1" t="s">
        <v>15</v>
      </c>
      <c r="AQ21" s="1">
        <v>4.04249930381775</v>
      </c>
      <c r="AR21" s="1">
        <v>2.06598088145256</v>
      </c>
      <c r="AS21" s="1">
        <v>0.218375191092491</v>
      </c>
      <c r="AT21" s="1">
        <v>34.4114689677954</v>
      </c>
      <c r="AU21" s="1">
        <v>1.9038047939539</v>
      </c>
      <c r="AV21" s="1">
        <v>5304.91186591614</v>
      </c>
      <c r="AW21" s="1">
        <v>363</v>
      </c>
    </row>
    <row r="22" spans="1:49">
      <c r="A22" s="1">
        <v>21</v>
      </c>
      <c r="B22" s="1" t="s">
        <v>50</v>
      </c>
      <c r="C22" s="1">
        <v>1315.7673906277</v>
      </c>
      <c r="D22" s="1">
        <v>334</v>
      </c>
      <c r="H22">
        <v>1.18260594650293</v>
      </c>
      <c r="I22">
        <v>2.15857516226319</v>
      </c>
      <c r="J22">
        <v>0.147624825342181</v>
      </c>
      <c r="K22">
        <v>32.5995886709717</v>
      </c>
      <c r="L22">
        <v>1.96129239209335</v>
      </c>
      <c r="M22" s="1">
        <v>2660.51367957721</v>
      </c>
      <c r="N22" s="1">
        <v>303</v>
      </c>
      <c r="O22" s="1"/>
      <c r="P22" s="7">
        <v>1.2</v>
      </c>
      <c r="Q22" s="8">
        <v>2.16</v>
      </c>
      <c r="R22" s="8">
        <v>0.15</v>
      </c>
      <c r="S22" s="7">
        <v>32.6</v>
      </c>
      <c r="T22" s="8">
        <v>1.96</v>
      </c>
      <c r="U22" s="8">
        <v>2660.51</v>
      </c>
      <c r="V22" s="1">
        <v>303</v>
      </c>
      <c r="Y22" s="1">
        <v>15</v>
      </c>
      <c r="Z22" s="7">
        <v>6.2</v>
      </c>
      <c r="AA22" s="7">
        <v>11.5</v>
      </c>
      <c r="AB22" s="8">
        <v>2.02</v>
      </c>
      <c r="AC22" s="8">
        <v>2.05</v>
      </c>
      <c r="AD22" s="8">
        <v>0.22</v>
      </c>
      <c r="AE22" s="8">
        <v>0.1</v>
      </c>
      <c r="AF22" s="7">
        <v>38.7</v>
      </c>
      <c r="AG22" s="7">
        <v>30.9</v>
      </c>
      <c r="AH22" s="8">
        <v>1.84</v>
      </c>
      <c r="AI22" s="8">
        <v>1.92</v>
      </c>
      <c r="AJ22" s="1">
        <v>0</v>
      </c>
      <c r="AK22" s="1">
        <v>1</v>
      </c>
      <c r="AL22" s="1">
        <v>354</v>
      </c>
      <c r="AM22" s="1">
        <v>373</v>
      </c>
      <c r="AO22" s="1">
        <v>21</v>
      </c>
      <c r="AP22" s="1" t="s">
        <v>15</v>
      </c>
      <c r="AQ22" s="1">
        <v>7.09253017082321</v>
      </c>
      <c r="AR22" s="1">
        <v>2.12388692870563</v>
      </c>
      <c r="AS22" s="1">
        <v>0.170744213533269</v>
      </c>
      <c r="AT22" s="1">
        <v>33.9421291540939</v>
      </c>
      <c r="AU22" s="1">
        <v>1.93670124866908</v>
      </c>
      <c r="AV22" s="1">
        <v>7063.9365427813</v>
      </c>
      <c r="AW22" s="1">
        <v>357</v>
      </c>
    </row>
    <row r="23" spans="1:49">
      <c r="A23" s="1">
        <v>22</v>
      </c>
      <c r="B23" s="1" t="s">
        <v>51</v>
      </c>
      <c r="C23" s="1">
        <v>2660.51367957721</v>
      </c>
      <c r="D23" s="1">
        <v>303</v>
      </c>
      <c r="H23">
        <v>1.87855299096554</v>
      </c>
      <c r="I23">
        <v>2.07427805345213</v>
      </c>
      <c r="J23">
        <v>0.273483686609998</v>
      </c>
      <c r="K23">
        <v>32.3008682483126</v>
      </c>
      <c r="L23">
        <v>1.93489617513808</v>
      </c>
      <c r="M23" s="1">
        <v>1409.99114738583</v>
      </c>
      <c r="N23" s="1">
        <v>346</v>
      </c>
      <c r="O23" s="1"/>
      <c r="P23" s="7">
        <v>1.9</v>
      </c>
      <c r="Q23" s="8">
        <v>2.07</v>
      </c>
      <c r="R23" s="8">
        <v>0.27</v>
      </c>
      <c r="S23" s="7">
        <v>32.3</v>
      </c>
      <c r="T23" s="8">
        <v>1.93</v>
      </c>
      <c r="U23" s="8">
        <v>1409.99</v>
      </c>
      <c r="V23" s="1">
        <v>346</v>
      </c>
      <c r="Y23" s="1">
        <v>16</v>
      </c>
      <c r="Z23" s="7">
        <v>1.8</v>
      </c>
      <c r="AA23" s="7">
        <v>1.9</v>
      </c>
      <c r="AB23" s="8">
        <v>2.08</v>
      </c>
      <c r="AC23" s="8">
        <v>2.1</v>
      </c>
      <c r="AD23" s="8">
        <v>0.21</v>
      </c>
      <c r="AE23" s="8">
        <v>0.29</v>
      </c>
      <c r="AF23" s="7">
        <v>38.7</v>
      </c>
      <c r="AG23" s="7">
        <v>33.6</v>
      </c>
      <c r="AH23" s="8">
        <v>1.91</v>
      </c>
      <c r="AI23" s="8">
        <v>1.97</v>
      </c>
      <c r="AJ23" s="1">
        <v>0</v>
      </c>
      <c r="AK23" s="1">
        <v>0</v>
      </c>
      <c r="AL23" s="1">
        <v>328</v>
      </c>
      <c r="AM23" s="1">
        <v>343</v>
      </c>
      <c r="AO23" s="1">
        <v>22</v>
      </c>
      <c r="AP23" s="1" t="s">
        <v>15</v>
      </c>
      <c r="AQ23" s="1">
        <v>4.81682732280507</v>
      </c>
      <c r="AR23" s="1">
        <v>2.03469323784988</v>
      </c>
      <c r="AS23" s="1">
        <v>0.387471068988531</v>
      </c>
      <c r="AT23" s="1">
        <v>37.3758211892335</v>
      </c>
      <c r="AU23" s="1">
        <v>1.9298937835265</v>
      </c>
      <c r="AV23" s="1">
        <v>3871.14485355231</v>
      </c>
      <c r="AW23" s="1">
        <v>367</v>
      </c>
    </row>
    <row r="24" spans="1:49">
      <c r="A24" s="1">
        <v>23</v>
      </c>
      <c r="B24" s="1" t="s">
        <v>52</v>
      </c>
      <c r="C24" s="1">
        <v>1409.99114738583</v>
      </c>
      <c r="D24" s="1">
        <v>346</v>
      </c>
      <c r="H24">
        <v>7.19094755006089</v>
      </c>
      <c r="I24">
        <v>2.03462177401083</v>
      </c>
      <c r="J24">
        <v>0.313059840963953</v>
      </c>
      <c r="K24">
        <v>30.9177930071206</v>
      </c>
      <c r="L24">
        <v>1.99084439943544</v>
      </c>
      <c r="M24" s="1">
        <v>1326.53192407194</v>
      </c>
      <c r="N24" s="1">
        <v>390</v>
      </c>
      <c r="O24" s="1"/>
      <c r="P24" s="7">
        <v>7.2</v>
      </c>
      <c r="Q24" s="8">
        <v>2.03</v>
      </c>
      <c r="R24" s="8">
        <v>0.31</v>
      </c>
      <c r="S24" s="7">
        <v>30.9</v>
      </c>
      <c r="T24" s="8">
        <v>1.99</v>
      </c>
      <c r="U24" s="8">
        <v>1326.53</v>
      </c>
      <c r="V24" s="1">
        <v>390</v>
      </c>
      <c r="Y24" s="1">
        <v>17</v>
      </c>
      <c r="Z24" s="7">
        <v>4.2</v>
      </c>
      <c r="AA24" s="7">
        <v>5.6</v>
      </c>
      <c r="AB24" s="8">
        <v>2.06</v>
      </c>
      <c r="AC24" s="8">
        <v>2.07</v>
      </c>
      <c r="AD24" s="8">
        <v>0.42</v>
      </c>
      <c r="AE24" s="8">
        <v>0.33</v>
      </c>
      <c r="AF24" s="7">
        <v>31.9</v>
      </c>
      <c r="AG24" s="7">
        <v>31.6</v>
      </c>
      <c r="AH24" s="8">
        <v>1.87</v>
      </c>
      <c r="AI24" s="8">
        <v>1.88</v>
      </c>
      <c r="AJ24" s="1">
        <v>0</v>
      </c>
      <c r="AK24" s="1">
        <v>0</v>
      </c>
      <c r="AL24" s="1">
        <v>361</v>
      </c>
      <c r="AM24" s="1">
        <v>362</v>
      </c>
      <c r="AO24" s="1">
        <v>23</v>
      </c>
      <c r="AP24" s="1" t="s">
        <v>15</v>
      </c>
      <c r="AQ24" s="1">
        <v>7.7050849258955</v>
      </c>
      <c r="AR24" s="1">
        <v>2.10708788282855</v>
      </c>
      <c r="AS24" s="1">
        <v>0.21151936400724</v>
      </c>
      <c r="AT24" s="1">
        <v>36.7137045027587</v>
      </c>
      <c r="AU24" s="1">
        <v>1.94515152066243</v>
      </c>
      <c r="AV24" s="1">
        <v>6109.77873228001</v>
      </c>
      <c r="AW24" s="1">
        <v>354</v>
      </c>
    </row>
    <row r="25" spans="1:49">
      <c r="A25" s="1">
        <v>24</v>
      </c>
      <c r="B25" s="1" t="s">
        <v>53</v>
      </c>
      <c r="C25" s="1">
        <v>1326.53192407194</v>
      </c>
      <c r="D25" s="1">
        <v>390</v>
      </c>
      <c r="H25">
        <v>7.14171762764453</v>
      </c>
      <c r="I25">
        <v>2.045553997159</v>
      </c>
      <c r="J25">
        <v>0.216125652194023</v>
      </c>
      <c r="K25">
        <v>33.8212737441062</v>
      </c>
      <c r="L25">
        <v>1.99295407533645</v>
      </c>
      <c r="M25" s="1">
        <v>3202.34518108846</v>
      </c>
      <c r="N25" s="1">
        <v>385</v>
      </c>
      <c r="O25" s="1"/>
      <c r="P25" s="7">
        <v>7.1</v>
      </c>
      <c r="Q25" s="8">
        <v>2.05</v>
      </c>
      <c r="R25" s="8">
        <v>0.22</v>
      </c>
      <c r="S25" s="7">
        <v>33.8</v>
      </c>
      <c r="T25" s="8">
        <v>1.99</v>
      </c>
      <c r="U25" s="8">
        <v>3202.35</v>
      </c>
      <c r="V25" s="1">
        <v>385</v>
      </c>
      <c r="Y25" s="1">
        <v>18</v>
      </c>
      <c r="Z25" s="7">
        <v>3.4</v>
      </c>
      <c r="AA25" s="7">
        <v>4.6</v>
      </c>
      <c r="AB25" s="8">
        <v>2.05</v>
      </c>
      <c r="AC25" s="8">
        <v>2.02</v>
      </c>
      <c r="AD25" s="8">
        <v>0.27</v>
      </c>
      <c r="AE25" s="8">
        <v>0.18</v>
      </c>
      <c r="AF25" s="7">
        <v>30.8</v>
      </c>
      <c r="AG25" s="7">
        <v>36.3</v>
      </c>
      <c r="AH25" s="8">
        <v>1.88</v>
      </c>
      <c r="AI25" s="8">
        <v>1.96</v>
      </c>
      <c r="AJ25" s="1">
        <v>0</v>
      </c>
      <c r="AK25" s="1">
        <v>0</v>
      </c>
      <c r="AL25" s="1">
        <v>369</v>
      </c>
      <c r="AM25" s="1">
        <v>382</v>
      </c>
      <c r="AO25" s="1">
        <v>24</v>
      </c>
      <c r="AP25" s="1" t="s">
        <v>15</v>
      </c>
      <c r="AQ25" s="1">
        <v>8.35268004765163</v>
      </c>
      <c r="AR25" s="1">
        <v>2.10417171491622</v>
      </c>
      <c r="AS25" s="1">
        <v>0.333462869426559</v>
      </c>
      <c r="AT25" s="1">
        <v>35.6022136590219</v>
      </c>
      <c r="AU25" s="1">
        <v>1.991102296061</v>
      </c>
      <c r="AV25" s="1">
        <v>4112.61679801613</v>
      </c>
      <c r="AW25" s="1">
        <v>360</v>
      </c>
    </row>
    <row r="26" spans="1:49">
      <c r="A26" s="1">
        <v>25</v>
      </c>
      <c r="B26" s="1" t="s">
        <v>54</v>
      </c>
      <c r="C26" s="1">
        <v>3202.34518108846</v>
      </c>
      <c r="D26" s="1">
        <v>385</v>
      </c>
      <c r="H26">
        <v>7.69079767305644</v>
      </c>
      <c r="I26">
        <v>2.15908845625913</v>
      </c>
      <c r="J26">
        <v>0.617790890493308</v>
      </c>
      <c r="K26">
        <v>30.8844141991965</v>
      </c>
      <c r="L26">
        <v>1.94728203083912</v>
      </c>
      <c r="M26" s="1">
        <v>1420.86730035587</v>
      </c>
      <c r="N26" s="1">
        <v>341</v>
      </c>
      <c r="O26" s="1"/>
      <c r="P26" s="7">
        <v>7.7</v>
      </c>
      <c r="Q26" s="8">
        <v>2.16</v>
      </c>
      <c r="R26" s="8">
        <v>0.62</v>
      </c>
      <c r="S26" s="7">
        <v>30.9</v>
      </c>
      <c r="T26" s="8">
        <v>1.95</v>
      </c>
      <c r="U26" s="8">
        <v>1420.87</v>
      </c>
      <c r="V26" s="1">
        <v>341</v>
      </c>
      <c r="Y26" s="1">
        <v>19</v>
      </c>
      <c r="Z26" s="7">
        <v>4.4</v>
      </c>
      <c r="AA26" s="7">
        <v>4.8</v>
      </c>
      <c r="AB26" s="8">
        <v>2.04</v>
      </c>
      <c r="AC26" s="8">
        <v>2.06</v>
      </c>
      <c r="AD26" s="8">
        <v>0.37</v>
      </c>
      <c r="AE26" s="8">
        <v>0.22</v>
      </c>
      <c r="AF26" s="7">
        <v>31.1</v>
      </c>
      <c r="AG26" s="7">
        <v>34.5</v>
      </c>
      <c r="AH26" s="8">
        <v>1.93</v>
      </c>
      <c r="AI26" s="8">
        <v>1.94</v>
      </c>
      <c r="AJ26" s="1">
        <v>0</v>
      </c>
      <c r="AK26" s="1">
        <v>0</v>
      </c>
      <c r="AL26" s="1">
        <v>379</v>
      </c>
      <c r="AM26" s="1">
        <v>372</v>
      </c>
      <c r="AO26" s="1">
        <v>25</v>
      </c>
      <c r="AP26" s="1" t="s">
        <v>15</v>
      </c>
      <c r="AQ26" s="1">
        <v>5.83457621494115</v>
      </c>
      <c r="AR26" s="1">
        <v>2.00821998366155</v>
      </c>
      <c r="AS26" s="1">
        <v>0.483388670406293</v>
      </c>
      <c r="AT26" s="1">
        <v>44.5825357698984</v>
      </c>
      <c r="AU26" s="1">
        <v>1.84733945509961</v>
      </c>
      <c r="AV26" s="1">
        <v>5541.16320003431</v>
      </c>
      <c r="AW26" s="1">
        <v>341</v>
      </c>
    </row>
    <row r="27" spans="1:49">
      <c r="A27" s="1">
        <v>26</v>
      </c>
      <c r="B27" s="1" t="s">
        <v>55</v>
      </c>
      <c r="C27" s="1">
        <v>1420.86730035587</v>
      </c>
      <c r="D27" s="1">
        <v>341</v>
      </c>
      <c r="H27">
        <v>3.53033827890753</v>
      </c>
      <c r="I27">
        <v>2.08065345934833</v>
      </c>
      <c r="J27">
        <v>0.130339724928169</v>
      </c>
      <c r="K27">
        <v>30.2759051448514</v>
      </c>
      <c r="L27">
        <v>1.98334245085772</v>
      </c>
      <c r="M27" s="1">
        <v>972.755221445283</v>
      </c>
      <c r="N27" s="1">
        <v>380</v>
      </c>
      <c r="O27" s="1"/>
      <c r="P27" s="7">
        <v>3.5</v>
      </c>
      <c r="Q27" s="8">
        <v>2.08</v>
      </c>
      <c r="R27" s="8">
        <v>0.13</v>
      </c>
      <c r="S27" s="7">
        <v>30.3</v>
      </c>
      <c r="T27" s="8">
        <v>1.98</v>
      </c>
      <c r="U27" s="8">
        <v>972.76</v>
      </c>
      <c r="V27" s="1">
        <v>380</v>
      </c>
      <c r="Y27" s="1">
        <v>20</v>
      </c>
      <c r="Z27" s="7">
        <v>8.7</v>
      </c>
      <c r="AA27" s="7">
        <v>7.3</v>
      </c>
      <c r="AB27" s="8">
        <v>2.06</v>
      </c>
      <c r="AC27" s="8">
        <v>2.03</v>
      </c>
      <c r="AD27" s="8">
        <v>0.35</v>
      </c>
      <c r="AE27" s="8">
        <v>0.02</v>
      </c>
      <c r="AF27" s="7">
        <v>33.5</v>
      </c>
      <c r="AG27" s="7">
        <v>36.5</v>
      </c>
      <c r="AH27" s="8">
        <v>1.95</v>
      </c>
      <c r="AI27" s="8">
        <v>1.91</v>
      </c>
      <c r="AJ27" s="1">
        <v>0</v>
      </c>
      <c r="AK27" s="1">
        <v>0</v>
      </c>
      <c r="AL27" s="1">
        <v>370</v>
      </c>
      <c r="AM27" s="1">
        <v>378</v>
      </c>
      <c r="AO27" s="1">
        <v>26</v>
      </c>
      <c r="AP27" s="1" t="s">
        <v>15</v>
      </c>
      <c r="AQ27" s="1">
        <v>1.70991955697536</v>
      </c>
      <c r="AR27" s="1">
        <v>2.0061494410038</v>
      </c>
      <c r="AS27" s="1">
        <v>0.528283044695854</v>
      </c>
      <c r="AT27" s="1">
        <v>36.2056846916676</v>
      </c>
      <c r="AU27" s="1">
        <v>1.84134246408939</v>
      </c>
      <c r="AV27" s="1">
        <v>4650.38120310213</v>
      </c>
      <c r="AW27" s="1">
        <v>338</v>
      </c>
    </row>
    <row r="28" spans="1:49">
      <c r="A28" s="1">
        <v>27</v>
      </c>
      <c r="B28" s="1" t="s">
        <v>56</v>
      </c>
      <c r="C28" s="1">
        <v>972.755221445283</v>
      </c>
      <c r="D28" s="1">
        <v>380</v>
      </c>
      <c r="H28">
        <v>4.21503356517453</v>
      </c>
      <c r="I28">
        <v>2.07025783631261</v>
      </c>
      <c r="J28">
        <v>0.0430642918217927</v>
      </c>
      <c r="K28">
        <v>32.7565747686381</v>
      </c>
      <c r="L28">
        <v>1.93661675268482</v>
      </c>
      <c r="M28" s="1">
        <v>2307.27463292926</v>
      </c>
      <c r="N28" s="1">
        <v>376</v>
      </c>
      <c r="O28" s="1"/>
      <c r="P28" s="7">
        <v>4.2</v>
      </c>
      <c r="Q28" s="8">
        <v>2.07</v>
      </c>
      <c r="R28" s="8">
        <v>0.04</v>
      </c>
      <c r="S28" s="7">
        <v>32.8</v>
      </c>
      <c r="T28" s="8">
        <v>1.94</v>
      </c>
      <c r="U28" s="8">
        <v>2307.27</v>
      </c>
      <c r="V28" s="1">
        <v>376</v>
      </c>
      <c r="Y28" s="1">
        <v>21</v>
      </c>
      <c r="Z28" s="7">
        <v>5.7</v>
      </c>
      <c r="AA28" s="7">
        <v>1.3</v>
      </c>
      <c r="AB28" s="8">
        <v>2.19</v>
      </c>
      <c r="AC28" s="8">
        <v>2.02</v>
      </c>
      <c r="AD28" s="8">
        <v>0.45</v>
      </c>
      <c r="AE28" s="8">
        <v>0.27</v>
      </c>
      <c r="AF28" s="7">
        <v>31.6</v>
      </c>
      <c r="AG28" s="7">
        <v>32.1</v>
      </c>
      <c r="AH28" s="8">
        <v>1.91</v>
      </c>
      <c r="AI28" s="8">
        <v>1.91</v>
      </c>
      <c r="AJ28" s="1">
        <v>0</v>
      </c>
      <c r="AK28" s="1">
        <v>0</v>
      </c>
      <c r="AL28" s="1">
        <v>333</v>
      </c>
      <c r="AM28" s="1">
        <v>334</v>
      </c>
      <c r="AO28" s="1">
        <v>27</v>
      </c>
      <c r="AP28" s="1" t="s">
        <v>15</v>
      </c>
      <c r="AQ28" s="1">
        <v>8.04753173391836</v>
      </c>
      <c r="AR28" s="1">
        <v>2.30140348193548</v>
      </c>
      <c r="AS28" s="1">
        <v>0.365934738974817</v>
      </c>
      <c r="AT28" s="1">
        <v>39.2657060590608</v>
      </c>
      <c r="AU28" s="1">
        <v>1.87380953090443</v>
      </c>
      <c r="AV28" s="1">
        <v>20689.2950818148</v>
      </c>
      <c r="AW28" s="1">
        <v>260</v>
      </c>
    </row>
    <row r="29" spans="1:49">
      <c r="A29" s="1">
        <v>28</v>
      </c>
      <c r="B29" s="1" t="s">
        <v>57</v>
      </c>
      <c r="C29" s="1">
        <v>2307.27463292926</v>
      </c>
      <c r="D29" s="1">
        <v>376</v>
      </c>
      <c r="H29">
        <v>2.10596154630184</v>
      </c>
      <c r="I29">
        <v>2.00983792543411</v>
      </c>
      <c r="J29">
        <v>0.368383288383483</v>
      </c>
      <c r="K29">
        <v>30.3954131752252</v>
      </c>
      <c r="L29">
        <v>1.95579577982425</v>
      </c>
      <c r="M29" s="1">
        <v>91.7525954514229</v>
      </c>
      <c r="N29" s="1">
        <v>372</v>
      </c>
      <c r="O29" s="1"/>
      <c r="P29" s="7">
        <v>2.1</v>
      </c>
      <c r="Q29" s="8">
        <v>2.01</v>
      </c>
      <c r="R29" s="8">
        <v>0.37</v>
      </c>
      <c r="S29" s="7">
        <v>30.4</v>
      </c>
      <c r="T29" s="8">
        <v>1.96</v>
      </c>
      <c r="U29" s="8">
        <v>91.75</v>
      </c>
      <c r="V29" s="1">
        <v>372</v>
      </c>
      <c r="Y29" s="1">
        <v>22</v>
      </c>
      <c r="Z29" s="7">
        <v>4.3</v>
      </c>
      <c r="AA29" s="7">
        <v>1.2</v>
      </c>
      <c r="AB29" s="8">
        <v>2.01</v>
      </c>
      <c r="AC29" s="8">
        <v>2.16</v>
      </c>
      <c r="AD29" s="8">
        <v>0.17</v>
      </c>
      <c r="AE29" s="8">
        <v>0.15</v>
      </c>
      <c r="AF29" s="7">
        <v>36.2</v>
      </c>
      <c r="AG29" s="7">
        <v>32.6</v>
      </c>
      <c r="AH29" s="8">
        <v>1.91</v>
      </c>
      <c r="AI29" s="8">
        <v>1.96</v>
      </c>
      <c r="AJ29" s="1">
        <v>0</v>
      </c>
      <c r="AK29" s="1">
        <v>0</v>
      </c>
      <c r="AL29" s="1">
        <v>377</v>
      </c>
      <c r="AM29" s="1">
        <v>303</v>
      </c>
      <c r="AO29" s="1">
        <v>28</v>
      </c>
      <c r="AP29" s="1" t="s">
        <v>15</v>
      </c>
      <c r="AQ29" s="1">
        <v>5.09268514811993</v>
      </c>
      <c r="AR29" s="1">
        <v>2.07203216850758</v>
      </c>
      <c r="AS29" s="1">
        <v>0.269516989588737</v>
      </c>
      <c r="AT29" s="1">
        <v>30.4980065822601</v>
      </c>
      <c r="AU29" s="1">
        <v>1.86872260272503</v>
      </c>
      <c r="AV29" s="1">
        <v>2535.25116434226</v>
      </c>
      <c r="AW29" s="1">
        <v>366</v>
      </c>
    </row>
    <row r="30" spans="1:49">
      <c r="A30" s="1">
        <v>29</v>
      </c>
      <c r="B30" s="1" t="s">
        <v>58</v>
      </c>
      <c r="C30" s="1">
        <v>91.7525954514229</v>
      </c>
      <c r="D30" s="1">
        <v>372</v>
      </c>
      <c r="H30">
        <v>4.32813564312794</v>
      </c>
      <c r="I30">
        <v>2.03440751223059</v>
      </c>
      <c r="J30">
        <v>0.115851875328468</v>
      </c>
      <c r="K30">
        <v>31.7920078343215</v>
      </c>
      <c r="L30">
        <v>1.99273145100817</v>
      </c>
      <c r="M30" s="1">
        <v>1220.02153259228</v>
      </c>
      <c r="N30" s="1">
        <v>391</v>
      </c>
      <c r="O30" s="1"/>
      <c r="P30" s="7">
        <v>4.3</v>
      </c>
      <c r="Q30" s="8">
        <v>2.03</v>
      </c>
      <c r="R30" s="8">
        <v>0.12</v>
      </c>
      <c r="S30" s="7">
        <v>31.8</v>
      </c>
      <c r="T30" s="8">
        <v>1.99</v>
      </c>
      <c r="U30" s="8">
        <v>1220.02</v>
      </c>
      <c r="V30" s="1">
        <v>391</v>
      </c>
      <c r="Y30" s="1">
        <v>23</v>
      </c>
      <c r="Z30" s="7">
        <v>7.5</v>
      </c>
      <c r="AA30" s="7">
        <v>1.9</v>
      </c>
      <c r="AB30" s="8">
        <v>2.09</v>
      </c>
      <c r="AC30" s="8">
        <v>2.07</v>
      </c>
      <c r="AD30" s="8">
        <v>0.25</v>
      </c>
      <c r="AE30" s="8">
        <v>0.27</v>
      </c>
      <c r="AF30" s="7">
        <v>33.9</v>
      </c>
      <c r="AG30" s="7">
        <v>32.3</v>
      </c>
      <c r="AH30" s="8">
        <v>1.97</v>
      </c>
      <c r="AI30" s="8">
        <v>1.93</v>
      </c>
      <c r="AJ30" s="1">
        <v>0</v>
      </c>
      <c r="AK30" s="1">
        <v>0</v>
      </c>
      <c r="AL30" s="1">
        <v>367</v>
      </c>
      <c r="AM30" s="1">
        <v>346</v>
      </c>
      <c r="AO30" s="1">
        <v>29</v>
      </c>
      <c r="AP30" s="1" t="s">
        <v>15</v>
      </c>
      <c r="AQ30" s="1">
        <v>4.90012660634846</v>
      </c>
      <c r="AR30" s="1">
        <v>2.08224946739149</v>
      </c>
      <c r="AS30" s="1">
        <v>0.0743080214403558</v>
      </c>
      <c r="AT30" s="1">
        <v>37.0542248900261</v>
      </c>
      <c r="AU30" s="1">
        <v>1.95266446052119</v>
      </c>
      <c r="AV30" s="1">
        <v>3962.05977694381</v>
      </c>
      <c r="AW30" s="1">
        <v>366</v>
      </c>
    </row>
    <row r="31" spans="1:49">
      <c r="A31" s="1">
        <v>30</v>
      </c>
      <c r="B31" s="1" t="s">
        <v>59</v>
      </c>
      <c r="C31" s="1">
        <v>1220.02153259228</v>
      </c>
      <c r="D31" s="1">
        <v>391</v>
      </c>
      <c r="Y31" s="1">
        <v>24</v>
      </c>
      <c r="Z31" s="7">
        <v>9.5</v>
      </c>
      <c r="AA31" s="7">
        <v>7.2</v>
      </c>
      <c r="AB31" s="8">
        <v>2.09</v>
      </c>
      <c r="AC31" s="8">
        <v>2.03</v>
      </c>
      <c r="AD31" s="8">
        <v>0.2</v>
      </c>
      <c r="AE31" s="8">
        <v>0.31</v>
      </c>
      <c r="AF31" s="7">
        <v>34.8</v>
      </c>
      <c r="AG31" s="7">
        <v>30.9</v>
      </c>
      <c r="AH31" s="8">
        <v>1.92</v>
      </c>
      <c r="AI31" s="8">
        <v>1.99</v>
      </c>
      <c r="AJ31" s="1">
        <v>0</v>
      </c>
      <c r="AK31" s="1">
        <v>0</v>
      </c>
      <c r="AL31" s="1">
        <v>356</v>
      </c>
      <c r="AM31" s="1">
        <v>390</v>
      </c>
      <c r="AO31" s="1">
        <v>30</v>
      </c>
      <c r="AP31" s="1" t="s">
        <v>15</v>
      </c>
      <c r="AQ31" s="1">
        <v>5.5809447034089</v>
      </c>
      <c r="AR31" s="1">
        <v>2.0067603370561</v>
      </c>
      <c r="AS31" s="1">
        <v>0.357139780997814</v>
      </c>
      <c r="AT31" s="1">
        <v>44.2778036119524</v>
      </c>
      <c r="AU31" s="1">
        <v>1.88767137793865</v>
      </c>
      <c r="AV31" s="1">
        <v>5584.53031437238</v>
      </c>
      <c r="AW31" s="1">
        <v>354</v>
      </c>
    </row>
    <row r="32" spans="2:49">
      <c r="B32" s="3" t="s">
        <v>60</v>
      </c>
      <c r="C32" s="3" t="s">
        <v>61</v>
      </c>
      <c r="Y32" s="1">
        <v>25</v>
      </c>
      <c r="Z32" s="7">
        <v>3.1</v>
      </c>
      <c r="AA32" s="7">
        <v>7.1</v>
      </c>
      <c r="AB32" s="8">
        <v>2.05</v>
      </c>
      <c r="AC32" s="8">
        <v>2.05</v>
      </c>
      <c r="AD32" s="8">
        <v>0.52</v>
      </c>
      <c r="AE32" s="8">
        <v>0.22</v>
      </c>
      <c r="AF32" s="7">
        <v>31.8</v>
      </c>
      <c r="AG32" s="7">
        <v>33.8</v>
      </c>
      <c r="AH32" s="8">
        <v>1.86</v>
      </c>
      <c r="AI32" s="8">
        <v>1.99</v>
      </c>
      <c r="AJ32" s="1">
        <v>0</v>
      </c>
      <c r="AK32" s="1">
        <v>0</v>
      </c>
      <c r="AL32" s="1">
        <v>360</v>
      </c>
      <c r="AM32" s="1">
        <v>385</v>
      </c>
      <c r="AO32" s="1">
        <v>1</v>
      </c>
      <c r="AP32" s="1" t="s">
        <v>62</v>
      </c>
      <c r="AQ32" s="1">
        <v>5.9980523769688</v>
      </c>
      <c r="AR32" s="1">
        <v>2.12309479620309</v>
      </c>
      <c r="AS32" s="1">
        <v>0.175338845971352</v>
      </c>
      <c r="AT32" s="1">
        <v>38.8642566609012</v>
      </c>
      <c r="AU32" s="1">
        <v>1.88512597307495</v>
      </c>
      <c r="AV32" s="1">
        <v>7563.0588060374</v>
      </c>
      <c r="AW32" s="1">
        <v>333</v>
      </c>
    </row>
    <row r="33" spans="1:49">
      <c r="A33" s="1">
        <v>1</v>
      </c>
      <c r="B33" s="1" t="s">
        <v>63</v>
      </c>
      <c r="C33" s="1">
        <v>13731.9456650623</v>
      </c>
      <c r="D33" s="1">
        <v>287</v>
      </c>
      <c r="H33">
        <v>3.89478779863566</v>
      </c>
      <c r="I33">
        <v>2.19530313485302</v>
      </c>
      <c r="J33">
        <v>0.020420063752681</v>
      </c>
      <c r="K33">
        <v>41.472083395347</v>
      </c>
      <c r="L33">
        <v>1.79975139349699</v>
      </c>
      <c r="M33" s="1">
        <v>13731.9456650623</v>
      </c>
      <c r="N33" s="1">
        <v>287</v>
      </c>
      <c r="O33" s="1"/>
      <c r="P33" s="7">
        <v>3.9</v>
      </c>
      <c r="Q33" s="8">
        <v>2.2</v>
      </c>
      <c r="R33" s="8">
        <v>0.02</v>
      </c>
      <c r="S33" s="7">
        <v>41.5</v>
      </c>
      <c r="T33" s="8">
        <v>1.8</v>
      </c>
      <c r="U33" s="8">
        <v>13731.95</v>
      </c>
      <c r="V33" s="1">
        <v>287</v>
      </c>
      <c r="Y33" s="1">
        <v>26</v>
      </c>
      <c r="Z33" s="7">
        <v>1.8</v>
      </c>
      <c r="AA33" s="7">
        <v>7.7</v>
      </c>
      <c r="AB33" s="8">
        <v>2.25</v>
      </c>
      <c r="AC33" s="8">
        <v>2.16</v>
      </c>
      <c r="AD33" s="8">
        <v>0.58</v>
      </c>
      <c r="AE33" s="8">
        <v>0.62</v>
      </c>
      <c r="AF33" s="7">
        <v>32</v>
      </c>
      <c r="AG33" s="7">
        <v>30.9</v>
      </c>
      <c r="AH33" s="8">
        <v>1.9</v>
      </c>
      <c r="AI33" s="8">
        <v>1.95</v>
      </c>
      <c r="AJ33" s="1">
        <v>0</v>
      </c>
      <c r="AK33" s="1">
        <v>0</v>
      </c>
      <c r="AL33" s="1">
        <v>292</v>
      </c>
      <c r="AM33" s="1">
        <v>341</v>
      </c>
      <c r="AO33" s="1">
        <v>2</v>
      </c>
      <c r="AP33" s="1" t="s">
        <v>62</v>
      </c>
      <c r="AQ33" s="12">
        <v>10.316893646196</v>
      </c>
      <c r="AR33" s="1">
        <v>2.24883283255834</v>
      </c>
      <c r="AS33" s="1">
        <v>0.402025257442552</v>
      </c>
      <c r="AT33" s="1">
        <v>30.5568688130006</v>
      </c>
      <c r="AU33" s="1">
        <v>1.83643111955745</v>
      </c>
      <c r="AV33" s="1">
        <v>9238.11325594897</v>
      </c>
      <c r="AW33" s="1">
        <v>275</v>
      </c>
    </row>
    <row r="34" spans="1:49">
      <c r="A34" s="1">
        <v>2</v>
      </c>
      <c r="B34" s="1" t="s">
        <v>64</v>
      </c>
      <c r="C34" s="1">
        <v>5160.01970706766</v>
      </c>
      <c r="D34" s="1">
        <v>351</v>
      </c>
      <c r="H34">
        <v>8.22555731543214</v>
      </c>
      <c r="I34">
        <v>2.08616122687234</v>
      </c>
      <c r="J34">
        <v>0.270977854025788</v>
      </c>
      <c r="K34">
        <v>39.8421532187552</v>
      </c>
      <c r="L34">
        <v>1.95358242234215</v>
      </c>
      <c r="M34" s="1">
        <v>5160.01970706766</v>
      </c>
      <c r="N34" s="1">
        <v>351</v>
      </c>
      <c r="O34" s="1"/>
      <c r="P34" s="7">
        <v>8.2</v>
      </c>
      <c r="Q34" s="8">
        <v>2.09</v>
      </c>
      <c r="R34" s="8">
        <v>0.27</v>
      </c>
      <c r="S34" s="7">
        <v>39.8</v>
      </c>
      <c r="T34" s="8">
        <v>1.95</v>
      </c>
      <c r="U34" s="8">
        <v>5160.02</v>
      </c>
      <c r="V34" s="1">
        <v>351</v>
      </c>
      <c r="Y34" s="1">
        <v>27</v>
      </c>
      <c r="Z34" s="7">
        <v>5.8</v>
      </c>
      <c r="AA34" s="7">
        <v>3.5</v>
      </c>
      <c r="AB34" s="8">
        <v>2.07</v>
      </c>
      <c r="AC34" s="8">
        <v>2.08</v>
      </c>
      <c r="AD34" s="8">
        <v>0.26</v>
      </c>
      <c r="AE34" s="8">
        <v>0.13</v>
      </c>
      <c r="AF34" s="7">
        <v>37.7</v>
      </c>
      <c r="AG34" s="7">
        <v>30.3</v>
      </c>
      <c r="AH34" s="8">
        <v>1.94</v>
      </c>
      <c r="AI34" s="8">
        <v>1.98</v>
      </c>
      <c r="AJ34" s="1">
        <v>0</v>
      </c>
      <c r="AK34" s="1">
        <v>0</v>
      </c>
      <c r="AL34" s="1">
        <v>361</v>
      </c>
      <c r="AM34" s="1">
        <v>380</v>
      </c>
      <c r="AO34" s="1">
        <v>3</v>
      </c>
      <c r="AP34" s="1" t="s">
        <v>62</v>
      </c>
      <c r="AQ34" s="1">
        <v>4.31066647916788</v>
      </c>
      <c r="AR34" s="1">
        <v>2.0209861450799</v>
      </c>
      <c r="AS34" s="1">
        <v>0.8115529814185</v>
      </c>
      <c r="AT34" s="1">
        <v>31.3740784224381</v>
      </c>
      <c r="AU34" s="1">
        <v>1.91419720006156</v>
      </c>
      <c r="AV34" s="1">
        <v>271.076462280888</v>
      </c>
      <c r="AW34" s="1">
        <v>379</v>
      </c>
    </row>
    <row r="35" spans="1:49">
      <c r="A35" s="1">
        <v>3</v>
      </c>
      <c r="B35" s="1" t="s">
        <v>65</v>
      </c>
      <c r="C35" s="1">
        <v>3061.02572412769</v>
      </c>
      <c r="D35" s="1">
        <v>356</v>
      </c>
      <c r="H35">
        <v>5.9629159836068</v>
      </c>
      <c r="I35">
        <v>2.11501105632444</v>
      </c>
      <c r="J35">
        <v>0.120089515578001</v>
      </c>
      <c r="K35">
        <v>33.6658403053136</v>
      </c>
      <c r="L35">
        <v>1.89998589483189</v>
      </c>
      <c r="M35" s="1">
        <v>3061.02572412769</v>
      </c>
      <c r="N35" s="1">
        <v>356</v>
      </c>
      <c r="O35" s="1"/>
      <c r="P35" s="7">
        <v>6</v>
      </c>
      <c r="Q35" s="8">
        <v>2.12</v>
      </c>
      <c r="R35" s="8">
        <v>0.12</v>
      </c>
      <c r="S35" s="7">
        <v>33.7</v>
      </c>
      <c r="T35" s="8">
        <v>1.9</v>
      </c>
      <c r="U35" s="8">
        <v>3061.03</v>
      </c>
      <c r="V35" s="1">
        <v>356</v>
      </c>
      <c r="Y35" s="1">
        <v>28</v>
      </c>
      <c r="Z35" s="7">
        <v>7.6</v>
      </c>
      <c r="AA35" s="7">
        <v>4.2</v>
      </c>
      <c r="AB35" s="8">
        <v>2.07</v>
      </c>
      <c r="AC35" s="8">
        <v>2.07</v>
      </c>
      <c r="AD35" s="8">
        <v>0.14</v>
      </c>
      <c r="AE35" s="8">
        <v>0.04</v>
      </c>
      <c r="AF35" s="7">
        <v>38.5</v>
      </c>
      <c r="AG35" s="7">
        <v>32.8</v>
      </c>
      <c r="AH35" s="8">
        <v>1.93</v>
      </c>
      <c r="AI35" s="8">
        <v>1.94</v>
      </c>
      <c r="AJ35" s="1">
        <v>0</v>
      </c>
      <c r="AK35" s="1">
        <v>0</v>
      </c>
      <c r="AL35" s="1">
        <v>362</v>
      </c>
      <c r="AM35" s="1">
        <v>376</v>
      </c>
      <c r="AO35" s="1">
        <v>4</v>
      </c>
      <c r="AP35" s="1" t="s">
        <v>62</v>
      </c>
      <c r="AQ35" s="1">
        <v>2.51299666706473</v>
      </c>
      <c r="AR35" s="1">
        <v>2.11437751507427</v>
      </c>
      <c r="AS35" s="1">
        <v>0.382702115159102</v>
      </c>
      <c r="AT35" s="1">
        <v>34.6558241516859</v>
      </c>
      <c r="AU35" s="1">
        <v>1.96700501708998</v>
      </c>
      <c r="AV35" s="1">
        <v>1972.12307556736</v>
      </c>
      <c r="AW35" s="1">
        <v>347</v>
      </c>
    </row>
    <row r="36" spans="1:49">
      <c r="A36" s="1">
        <v>4</v>
      </c>
      <c r="B36" s="1" t="s">
        <v>66</v>
      </c>
      <c r="C36" s="1">
        <v>7049.37606273765</v>
      </c>
      <c r="D36" s="1">
        <v>356</v>
      </c>
      <c r="H36">
        <v>8.46257721425965</v>
      </c>
      <c r="I36">
        <v>2.06281789973456</v>
      </c>
      <c r="J36">
        <v>0.0864527141781586</v>
      </c>
      <c r="K36">
        <v>33.7846558050276</v>
      </c>
      <c r="L36">
        <v>1.82115782614852</v>
      </c>
      <c r="M36" s="1">
        <v>7049.37606273765</v>
      </c>
      <c r="N36" s="1">
        <v>356</v>
      </c>
      <c r="O36" s="1"/>
      <c r="P36" s="7">
        <v>8.5</v>
      </c>
      <c r="Q36" s="8">
        <v>2.06</v>
      </c>
      <c r="R36" s="8">
        <v>0.09</v>
      </c>
      <c r="S36" s="7">
        <v>33.8</v>
      </c>
      <c r="T36" s="8">
        <v>1.82</v>
      </c>
      <c r="U36" s="8">
        <v>7049.38</v>
      </c>
      <c r="V36" s="1">
        <v>356</v>
      </c>
      <c r="Y36" s="1">
        <v>29</v>
      </c>
      <c r="Z36" s="7">
        <v>5.8</v>
      </c>
      <c r="AA36" s="7">
        <v>2.1</v>
      </c>
      <c r="AB36" s="8">
        <v>2.1</v>
      </c>
      <c r="AC36" s="8">
        <v>2.01</v>
      </c>
      <c r="AD36" s="8">
        <v>0.21</v>
      </c>
      <c r="AE36" s="8">
        <v>0.37</v>
      </c>
      <c r="AF36" s="7">
        <v>34.3</v>
      </c>
      <c r="AG36" s="7">
        <v>30.4</v>
      </c>
      <c r="AH36" s="8">
        <v>1.98</v>
      </c>
      <c r="AI36" s="8">
        <v>1.96</v>
      </c>
      <c r="AJ36" s="1">
        <v>0</v>
      </c>
      <c r="AK36" s="1">
        <v>0</v>
      </c>
      <c r="AL36" s="1">
        <v>368</v>
      </c>
      <c r="AM36" s="1">
        <v>372</v>
      </c>
      <c r="AO36" s="1">
        <v>5</v>
      </c>
      <c r="AP36" s="1" t="s">
        <v>62</v>
      </c>
      <c r="AQ36" s="1">
        <v>4.66285066213459</v>
      </c>
      <c r="AR36" s="1">
        <v>2.03251788252965</v>
      </c>
      <c r="AS36" s="1">
        <v>0.55372136970982</v>
      </c>
      <c r="AT36" s="1">
        <v>47.437160811387</v>
      </c>
      <c r="AU36" s="1">
        <v>1.93509713863023</v>
      </c>
      <c r="AV36" s="1">
        <v>5801.79579782497</v>
      </c>
      <c r="AW36" s="1">
        <v>348</v>
      </c>
    </row>
    <row r="37" spans="1:49">
      <c r="A37" s="1">
        <v>5</v>
      </c>
      <c r="B37" s="1" t="s">
        <v>67</v>
      </c>
      <c r="C37" s="1">
        <v>2707.8001181722</v>
      </c>
      <c r="D37" s="1">
        <v>356</v>
      </c>
      <c r="H37">
        <v>2.2781043080613</v>
      </c>
      <c r="I37">
        <v>2.00121169001795</v>
      </c>
      <c r="J37">
        <v>0.364249328384175</v>
      </c>
      <c r="K37">
        <v>30.4197228793054</v>
      </c>
      <c r="L37">
        <v>1.77669791691005</v>
      </c>
      <c r="M37" s="1">
        <v>2707.8001181722</v>
      </c>
      <c r="N37" s="1">
        <v>356</v>
      </c>
      <c r="O37" s="1"/>
      <c r="P37" s="7">
        <v>2.3</v>
      </c>
      <c r="Q37" s="8">
        <v>2</v>
      </c>
      <c r="R37" s="8">
        <v>0.36</v>
      </c>
      <c r="S37" s="7">
        <v>30.4</v>
      </c>
      <c r="T37" s="8">
        <v>1.78</v>
      </c>
      <c r="U37" s="8">
        <v>2707.8</v>
      </c>
      <c r="V37" s="1">
        <v>356</v>
      </c>
      <c r="Y37" s="1">
        <v>30</v>
      </c>
      <c r="Z37" s="7">
        <v>7.5</v>
      </c>
      <c r="AA37" s="7">
        <v>4.3</v>
      </c>
      <c r="AB37" s="8">
        <v>2.15</v>
      </c>
      <c r="AC37" s="8">
        <v>2.03</v>
      </c>
      <c r="AD37" s="8">
        <v>0.19</v>
      </c>
      <c r="AE37" s="8">
        <v>0.12</v>
      </c>
      <c r="AF37" s="7">
        <v>35.3</v>
      </c>
      <c r="AG37" s="7">
        <v>31.8</v>
      </c>
      <c r="AH37" s="8">
        <v>1.98</v>
      </c>
      <c r="AI37" s="8">
        <v>1.99</v>
      </c>
      <c r="AJ37" s="1">
        <v>0</v>
      </c>
      <c r="AK37" s="1">
        <v>0</v>
      </c>
      <c r="AL37" s="1">
        <v>352</v>
      </c>
      <c r="AM37" s="1">
        <v>391</v>
      </c>
      <c r="AO37" s="1">
        <v>6</v>
      </c>
      <c r="AP37" s="1" t="s">
        <v>62</v>
      </c>
      <c r="AQ37" s="1">
        <v>1.1474614450708</v>
      </c>
      <c r="AR37" s="1">
        <v>2.01643106224947</v>
      </c>
      <c r="AS37" s="1">
        <v>0.200027000391856</v>
      </c>
      <c r="AT37" s="1">
        <v>34.889832935296</v>
      </c>
      <c r="AU37" s="1">
        <v>1.95130165922455</v>
      </c>
      <c r="AV37" s="1">
        <v>1437.80971507516</v>
      </c>
      <c r="AW37" s="1">
        <v>328</v>
      </c>
    </row>
    <row r="38" spans="1:49">
      <c r="A38" s="1">
        <v>6</v>
      </c>
      <c r="B38" s="1" t="s">
        <v>68</v>
      </c>
      <c r="C38" s="1">
        <v>2669.23300944011</v>
      </c>
      <c r="D38" s="1">
        <v>346</v>
      </c>
      <c r="H38">
        <v>2.81452327110589</v>
      </c>
      <c r="I38">
        <v>2.09617624869632</v>
      </c>
      <c r="J38">
        <v>0.520395313884676</v>
      </c>
      <c r="K38">
        <v>31.2130673403647</v>
      </c>
      <c r="L38">
        <v>1.86362930637981</v>
      </c>
      <c r="M38" s="1">
        <v>2669.23300944011</v>
      </c>
      <c r="N38" s="1">
        <v>346</v>
      </c>
      <c r="O38" s="1"/>
      <c r="P38" s="7">
        <v>2.8</v>
      </c>
      <c r="Q38" s="8">
        <v>2.1</v>
      </c>
      <c r="R38" s="8">
        <v>0.52</v>
      </c>
      <c r="S38" s="7">
        <v>31.2</v>
      </c>
      <c r="T38" s="8">
        <v>1.86</v>
      </c>
      <c r="U38" s="8">
        <v>2669.23</v>
      </c>
      <c r="V38" s="1">
        <v>346</v>
      </c>
      <c r="AO38" s="1">
        <v>7</v>
      </c>
      <c r="AP38" s="1" t="s">
        <v>62</v>
      </c>
      <c r="AQ38" s="1">
        <v>3.92347662709653</v>
      </c>
      <c r="AR38" s="1">
        <v>2.19830525736324</v>
      </c>
      <c r="AS38" s="1">
        <v>0.575049965176731</v>
      </c>
      <c r="AT38" s="1">
        <v>34.2853448214009</v>
      </c>
      <c r="AU38" s="1">
        <v>1.89816042501479</v>
      </c>
      <c r="AV38" s="1">
        <v>9333.48117679086</v>
      </c>
      <c r="AW38" s="1">
        <v>322</v>
      </c>
    </row>
    <row r="39" spans="1:49">
      <c r="A39" s="1">
        <v>7</v>
      </c>
      <c r="B39" s="1" t="s">
        <v>69</v>
      </c>
      <c r="C39" s="1">
        <v>4169.75944470291</v>
      </c>
      <c r="D39" s="1">
        <v>354</v>
      </c>
      <c r="H39">
        <v>7.6872242773666</v>
      </c>
      <c r="I39">
        <v>2.08544948530927</v>
      </c>
      <c r="J39">
        <v>0.180368414988301</v>
      </c>
      <c r="K39">
        <v>37.2294213315385</v>
      </c>
      <c r="L39">
        <v>1.91429150206111</v>
      </c>
      <c r="M39" s="1">
        <v>4169.75944470291</v>
      </c>
      <c r="N39" s="1">
        <v>354</v>
      </c>
      <c r="O39" s="1"/>
      <c r="P39" s="7">
        <v>7.7</v>
      </c>
      <c r="Q39" s="8">
        <v>2.09</v>
      </c>
      <c r="R39" s="8">
        <v>0.18</v>
      </c>
      <c r="S39" s="7">
        <v>37.2</v>
      </c>
      <c r="T39" s="8">
        <v>1.91</v>
      </c>
      <c r="U39" s="8">
        <v>4169.76</v>
      </c>
      <c r="V39" s="1">
        <v>354</v>
      </c>
      <c r="AO39" s="1">
        <v>8</v>
      </c>
      <c r="AP39" s="1" t="s">
        <v>62</v>
      </c>
      <c r="AQ39" s="1">
        <v>2.80149365961552</v>
      </c>
      <c r="AR39" s="1">
        <v>2.07037487626076</v>
      </c>
      <c r="AS39" s="1">
        <v>0.128777265548706</v>
      </c>
      <c r="AT39" s="1">
        <v>30.843526288867</v>
      </c>
      <c r="AU39" s="1">
        <v>1.98577784001827</v>
      </c>
      <c r="AV39" s="1">
        <v>2473.3943385483</v>
      </c>
      <c r="AW39" s="1">
        <v>377</v>
      </c>
    </row>
    <row r="40" spans="1:49">
      <c r="A40" s="1">
        <v>8</v>
      </c>
      <c r="B40" s="1" t="s">
        <v>70</v>
      </c>
      <c r="C40" s="1">
        <v>5606.50851887074</v>
      </c>
      <c r="D40" s="1">
        <v>361</v>
      </c>
      <c r="H40">
        <v>7.4354537460141</v>
      </c>
      <c r="I40">
        <v>2.11205932180065</v>
      </c>
      <c r="J40">
        <v>0.191136463224127</v>
      </c>
      <c r="K40">
        <v>34.5404264348038</v>
      </c>
      <c r="L40">
        <v>1.95894278054744</v>
      </c>
      <c r="M40" s="1">
        <v>5606.50851887074</v>
      </c>
      <c r="N40" s="1">
        <v>361</v>
      </c>
      <c r="O40" s="1"/>
      <c r="P40" s="7">
        <v>7.4</v>
      </c>
      <c r="Q40" s="8">
        <v>2.11</v>
      </c>
      <c r="R40" s="8">
        <v>0.19</v>
      </c>
      <c r="S40" s="7">
        <v>34.5</v>
      </c>
      <c r="T40" s="8">
        <v>1.96</v>
      </c>
      <c r="U40" s="8">
        <v>5606.51</v>
      </c>
      <c r="V40" s="1">
        <v>361</v>
      </c>
      <c r="AO40" s="1">
        <v>9</v>
      </c>
      <c r="AP40" s="1" t="s">
        <v>62</v>
      </c>
      <c r="AQ40" s="1">
        <v>4.4342727959156</v>
      </c>
      <c r="AR40" s="1">
        <v>2.16953860223293</v>
      </c>
      <c r="AS40" s="1">
        <v>0.209102794528008</v>
      </c>
      <c r="AT40" s="1">
        <v>42.4025456905365</v>
      </c>
      <c r="AU40" s="1">
        <v>1.9637435823679</v>
      </c>
      <c r="AV40" s="1">
        <v>7882.79265250694</v>
      </c>
      <c r="AW40" s="1">
        <v>329</v>
      </c>
    </row>
    <row r="41" spans="1:49">
      <c r="A41" s="1">
        <v>9</v>
      </c>
      <c r="B41" s="1" t="s">
        <v>71</v>
      </c>
      <c r="C41" s="1">
        <v>1279.43260226172</v>
      </c>
      <c r="D41" s="1">
        <v>365</v>
      </c>
      <c r="H41">
        <v>4.1045214831829</v>
      </c>
      <c r="I41">
        <v>2.06651580333709</v>
      </c>
      <c r="J41">
        <v>0.483987867832183</v>
      </c>
      <c r="K41">
        <v>33.1065820604562</v>
      </c>
      <c r="L41">
        <v>1.92074754834175</v>
      </c>
      <c r="M41" s="1">
        <v>1279.43260226172</v>
      </c>
      <c r="N41" s="1">
        <v>365</v>
      </c>
      <c r="O41" s="1"/>
      <c r="P41" s="7">
        <v>4.1</v>
      </c>
      <c r="Q41" s="8">
        <v>2.07</v>
      </c>
      <c r="R41" s="8">
        <v>0.48</v>
      </c>
      <c r="S41" s="7">
        <v>33.1</v>
      </c>
      <c r="T41" s="8">
        <v>1.92</v>
      </c>
      <c r="U41" s="8">
        <v>1279.43</v>
      </c>
      <c r="V41" s="1">
        <v>365</v>
      </c>
      <c r="Y41" s="1" t="s">
        <v>72</v>
      </c>
      <c r="Z41" s="1" t="s">
        <v>73</v>
      </c>
      <c r="AA41" s="1"/>
      <c r="AB41" s="1" t="s">
        <v>19</v>
      </c>
      <c r="AC41" s="1"/>
      <c r="AD41" s="1" t="s">
        <v>14</v>
      </c>
      <c r="AE41" s="1"/>
      <c r="AF41" s="1" t="s">
        <v>17</v>
      </c>
      <c r="AG41" s="1"/>
      <c r="AH41" s="1" t="s">
        <v>23</v>
      </c>
      <c r="AI41" s="1"/>
      <c r="AJ41" s="1" t="s">
        <v>33</v>
      </c>
      <c r="AK41" s="1"/>
      <c r="AO41" s="1">
        <v>10</v>
      </c>
      <c r="AP41" s="1" t="s">
        <v>62</v>
      </c>
      <c r="AQ41" s="1">
        <v>8.52880569709309</v>
      </c>
      <c r="AR41" s="1">
        <v>2.10597698317803</v>
      </c>
      <c r="AS41" s="1">
        <v>0.320044450974784</v>
      </c>
      <c r="AT41" s="1">
        <v>42.6041896637738</v>
      </c>
      <c r="AU41" s="1">
        <v>1.91622218463144</v>
      </c>
      <c r="AV41" s="1">
        <v>8628.34763511256</v>
      </c>
      <c r="AW41" s="1">
        <v>331</v>
      </c>
    </row>
    <row r="42" spans="1:49">
      <c r="A42" s="1">
        <v>10</v>
      </c>
      <c r="B42" s="1" t="s">
        <v>74</v>
      </c>
      <c r="C42" s="1">
        <v>3500.88031682464</v>
      </c>
      <c r="D42" s="1">
        <v>357</v>
      </c>
      <c r="H42">
        <v>7.25065660582614</v>
      </c>
      <c r="I42">
        <v>2.0589516579794</v>
      </c>
      <c r="J42">
        <v>0.172582341321452</v>
      </c>
      <c r="K42">
        <v>36.2934755239265</v>
      </c>
      <c r="L42">
        <v>1.87769883468034</v>
      </c>
      <c r="M42" s="1">
        <v>3500.88031682464</v>
      </c>
      <c r="N42" s="1">
        <v>357</v>
      </c>
      <c r="O42" s="1"/>
      <c r="P42" s="7">
        <v>7.3</v>
      </c>
      <c r="Q42" s="8">
        <v>2.06</v>
      </c>
      <c r="R42" s="8">
        <v>0.17</v>
      </c>
      <c r="S42" s="7">
        <v>36.3</v>
      </c>
      <c r="T42" s="8">
        <v>1.88</v>
      </c>
      <c r="U42" s="8">
        <v>3500.88</v>
      </c>
      <c r="V42" s="1">
        <v>357</v>
      </c>
      <c r="Y42" s="1"/>
      <c r="Z42" s="1" t="s">
        <v>75</v>
      </c>
      <c r="AA42" s="1" t="s">
        <v>37</v>
      </c>
      <c r="AB42" s="1" t="s">
        <v>75</v>
      </c>
      <c r="AC42" s="1" t="s">
        <v>37</v>
      </c>
      <c r="AD42" s="1" t="s">
        <v>75</v>
      </c>
      <c r="AE42" s="1" t="s">
        <v>37</v>
      </c>
      <c r="AF42" s="1" t="s">
        <v>75</v>
      </c>
      <c r="AG42" s="1" t="s">
        <v>37</v>
      </c>
      <c r="AH42" s="1" t="s">
        <v>75</v>
      </c>
      <c r="AI42" s="1" t="s">
        <v>37</v>
      </c>
      <c r="AJ42" s="1" t="s">
        <v>75</v>
      </c>
      <c r="AK42" s="1" t="s">
        <v>37</v>
      </c>
      <c r="AO42" s="1">
        <v>11</v>
      </c>
      <c r="AP42" s="1" t="s">
        <v>62</v>
      </c>
      <c r="AQ42" s="1">
        <v>5.46211433442331</v>
      </c>
      <c r="AR42" s="1">
        <v>2.06129174580955</v>
      </c>
      <c r="AS42" s="1">
        <v>0.453487553105315</v>
      </c>
      <c r="AT42" s="1">
        <v>32.7288058012397</v>
      </c>
      <c r="AU42" s="1">
        <v>1.96903750514289</v>
      </c>
      <c r="AV42" s="1">
        <v>2539.06599280494</v>
      </c>
      <c r="AW42" s="1">
        <v>379</v>
      </c>
    </row>
    <row r="43" spans="1:49">
      <c r="A43" s="1">
        <v>11</v>
      </c>
      <c r="B43" s="1" t="s">
        <v>76</v>
      </c>
      <c r="C43" s="1">
        <v>1518.40503302108</v>
      </c>
      <c r="D43" s="1">
        <v>331</v>
      </c>
      <c r="H43">
        <v>1.44935381412506</v>
      </c>
      <c r="I43">
        <v>2.04216539859771</v>
      </c>
      <c r="J43">
        <v>0.253427058458328</v>
      </c>
      <c r="K43">
        <v>32.7332666665315</v>
      </c>
      <c r="L43">
        <v>1.85998214781284</v>
      </c>
      <c r="M43" s="1">
        <v>1518.40503302108</v>
      </c>
      <c r="N43" s="1">
        <v>331</v>
      </c>
      <c r="O43" s="1"/>
      <c r="P43" s="7">
        <v>1.4</v>
      </c>
      <c r="Q43" s="8">
        <v>2.04</v>
      </c>
      <c r="R43" s="8">
        <v>0.25</v>
      </c>
      <c r="S43" s="7">
        <v>32.7</v>
      </c>
      <c r="T43" s="8">
        <v>1.86</v>
      </c>
      <c r="U43" s="8">
        <v>1518.41</v>
      </c>
      <c r="V43" s="1">
        <v>331</v>
      </c>
      <c r="Y43" s="1" t="s">
        <v>5</v>
      </c>
      <c r="Z43" s="1">
        <f>AVERAGE(V33:V62)</f>
        <v>351.6</v>
      </c>
      <c r="AA43" s="8">
        <v>4496.27</v>
      </c>
      <c r="AB43" s="1">
        <f>MEDIAN(V33:V62)</f>
        <v>356</v>
      </c>
      <c r="AC43" s="8">
        <v>4166.58</v>
      </c>
      <c r="AD43" s="1">
        <f>MAX(V33:V62)</f>
        <v>379</v>
      </c>
      <c r="AE43" s="8">
        <v>13731.95</v>
      </c>
      <c r="AF43" s="1">
        <f>MIN(V33:V62)</f>
        <v>287</v>
      </c>
      <c r="AG43" s="1">
        <f>MIN(U33:U62)</f>
        <v>1279.43</v>
      </c>
      <c r="AH43" s="1">
        <f>QUARTILE(V33:V62,1)</f>
        <v>347.25</v>
      </c>
      <c r="AI43" s="8">
        <v>2767.04</v>
      </c>
      <c r="AJ43" s="1">
        <f>QUARTILE(V33:V62,3)</f>
        <v>364.25</v>
      </c>
      <c r="AK43" s="8">
        <v>5655.17</v>
      </c>
      <c r="AO43" s="1">
        <v>12</v>
      </c>
      <c r="AP43" s="1" t="s">
        <v>62</v>
      </c>
      <c r="AQ43" s="1">
        <v>1.64036279916763</v>
      </c>
      <c r="AR43" s="1">
        <v>2.12134376168251</v>
      </c>
      <c r="AS43" s="1">
        <v>0.426537379622459</v>
      </c>
      <c r="AT43" s="1">
        <v>33.0232912302017</v>
      </c>
      <c r="AU43" s="1">
        <v>1.94189597666264</v>
      </c>
      <c r="AV43" s="1">
        <v>3309.12644452218</v>
      </c>
      <c r="AW43" s="1">
        <v>329</v>
      </c>
    </row>
    <row r="44" spans="1:49">
      <c r="A44" s="1">
        <v>12</v>
      </c>
      <c r="B44" s="1" t="s">
        <v>77</v>
      </c>
      <c r="C44" s="1">
        <v>6616.18760732415</v>
      </c>
      <c r="D44" s="1">
        <v>325</v>
      </c>
      <c r="H44">
        <v>2.22993782627466</v>
      </c>
      <c r="I44">
        <v>2.10350284977344</v>
      </c>
      <c r="J44">
        <v>0.179551827356833</v>
      </c>
      <c r="K44">
        <v>39.2559545212271</v>
      </c>
      <c r="L44">
        <v>1.88915138028536</v>
      </c>
      <c r="M44" s="1">
        <v>6616.18760732415</v>
      </c>
      <c r="N44" s="1">
        <v>325</v>
      </c>
      <c r="O44" s="1"/>
      <c r="P44" s="7">
        <v>2.2</v>
      </c>
      <c r="Q44" s="8">
        <v>2.1</v>
      </c>
      <c r="R44" s="8">
        <v>0.18</v>
      </c>
      <c r="S44" s="7">
        <v>39.3</v>
      </c>
      <c r="T44" s="8">
        <v>1.89</v>
      </c>
      <c r="U44" s="8">
        <v>6616.19</v>
      </c>
      <c r="V44" s="1">
        <v>325</v>
      </c>
      <c r="Y44" s="1" t="s">
        <v>34</v>
      </c>
      <c r="Z44" s="1">
        <f>AVERAGE(V1:V30)</f>
        <v>365.6</v>
      </c>
      <c r="AA44" s="8">
        <v>1908.09</v>
      </c>
      <c r="AB44" s="1">
        <f>MEDIAN(V1:V30)</f>
        <v>373</v>
      </c>
      <c r="AC44" s="8">
        <v>1456.03</v>
      </c>
      <c r="AD44" s="1">
        <f>MAX(V1:V30)</f>
        <v>391</v>
      </c>
      <c r="AE44" s="8">
        <v>4798.06</v>
      </c>
      <c r="AF44" s="1">
        <f>MIN(V1:V30)</f>
        <v>303</v>
      </c>
      <c r="AG44" s="1">
        <f>MIN(U1:U30)</f>
        <v>91.75</v>
      </c>
      <c r="AH44" s="1">
        <f>QUARTILE(V1:V30,1)</f>
        <v>348.25</v>
      </c>
      <c r="AI44" s="8">
        <v>1128.43</v>
      </c>
      <c r="AJ44" s="1">
        <f>QUARTILE(V1:V30,3)</f>
        <v>381.75</v>
      </c>
      <c r="AK44" s="8">
        <v>2967.73</v>
      </c>
      <c r="AO44" s="1">
        <v>13</v>
      </c>
      <c r="AP44" s="1" t="s">
        <v>62</v>
      </c>
      <c r="AQ44" s="1">
        <v>6.98884099323374</v>
      </c>
      <c r="AR44" s="1">
        <v>2.06281984830275</v>
      </c>
      <c r="AS44" s="1">
        <v>0.370213394505799</v>
      </c>
      <c r="AT44" s="1">
        <v>40.696425626241</v>
      </c>
      <c r="AU44" s="1">
        <v>1.8452539469383</v>
      </c>
      <c r="AV44" s="1">
        <v>6638.49360793954</v>
      </c>
      <c r="AW44" s="1">
        <v>335</v>
      </c>
    </row>
    <row r="45" spans="1:49">
      <c r="A45" s="1">
        <v>13</v>
      </c>
      <c r="B45" s="1" t="s">
        <v>78</v>
      </c>
      <c r="C45" s="1">
        <v>5697.65401740703</v>
      </c>
      <c r="D45" s="1">
        <v>345</v>
      </c>
      <c r="H45">
        <v>7.34745453175582</v>
      </c>
      <c r="I45">
        <v>2.18051344251875</v>
      </c>
      <c r="J45">
        <v>0.219025815989751</v>
      </c>
      <c r="K45">
        <v>31.6699824482202</v>
      </c>
      <c r="L45">
        <v>1.94054081799137</v>
      </c>
      <c r="M45" s="1">
        <v>5697.65401740703</v>
      </c>
      <c r="N45" s="1">
        <v>345</v>
      </c>
      <c r="O45" s="1"/>
      <c r="P45" s="7">
        <v>7.3</v>
      </c>
      <c r="Q45" s="8">
        <v>2.18</v>
      </c>
      <c r="R45" s="8">
        <v>0.22</v>
      </c>
      <c r="S45" s="7">
        <v>31.7</v>
      </c>
      <c r="T45" s="8">
        <v>1.94</v>
      </c>
      <c r="U45" s="8">
        <v>5697.65</v>
      </c>
      <c r="V45" s="1">
        <v>345</v>
      </c>
      <c r="Y45" s="1" t="s">
        <v>15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O45" s="1">
        <v>14</v>
      </c>
      <c r="AP45" s="1" t="s">
        <v>62</v>
      </c>
      <c r="AQ45" s="1">
        <v>6.27737459369647</v>
      </c>
      <c r="AR45" s="1">
        <v>2.04477795472336</v>
      </c>
      <c r="AS45" s="1">
        <v>0.3646306470806</v>
      </c>
      <c r="AT45" s="1">
        <v>33.0530094276254</v>
      </c>
      <c r="AU45" s="1">
        <v>1.93826704183689</v>
      </c>
      <c r="AV45" s="1">
        <v>1429.85736390516</v>
      </c>
      <c r="AW45" s="1">
        <v>378</v>
      </c>
    </row>
    <row r="46" spans="1:49">
      <c r="A46" s="1">
        <v>14</v>
      </c>
      <c r="B46" s="1" t="s">
        <v>79</v>
      </c>
      <c r="C46" s="1">
        <v>4163.39095205907</v>
      </c>
      <c r="D46" s="1">
        <v>369</v>
      </c>
      <c r="H46">
        <v>6.51111046913156</v>
      </c>
      <c r="I46">
        <v>2.06766435264272</v>
      </c>
      <c r="J46">
        <v>0.0838217271957546</v>
      </c>
      <c r="K46">
        <v>36.35895494038</v>
      </c>
      <c r="L46">
        <v>1.92854802918735</v>
      </c>
      <c r="M46" s="1">
        <v>4163.39095205907</v>
      </c>
      <c r="N46" s="1">
        <v>369</v>
      </c>
      <c r="O46" s="1"/>
      <c r="P46" s="7">
        <v>6.5</v>
      </c>
      <c r="Q46" s="8">
        <v>2.07</v>
      </c>
      <c r="R46" s="8">
        <v>0.08</v>
      </c>
      <c r="S46" s="7">
        <v>36.4</v>
      </c>
      <c r="T46" s="8">
        <v>1.93</v>
      </c>
      <c r="U46" s="8">
        <v>4163.39</v>
      </c>
      <c r="V46" s="1">
        <v>369</v>
      </c>
      <c r="Y46" s="1" t="s">
        <v>62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O46" s="1">
        <v>15</v>
      </c>
      <c r="AP46" s="1" t="s">
        <v>62</v>
      </c>
      <c r="AQ46" s="1">
        <v>8.6108694225321</v>
      </c>
      <c r="AR46" s="1">
        <v>2.07053581692651</v>
      </c>
      <c r="AS46" s="1">
        <v>0.208010704949373</v>
      </c>
      <c r="AT46" s="1">
        <v>30.835072970228</v>
      </c>
      <c r="AU46" s="1">
        <v>1.92992284037367</v>
      </c>
      <c r="AV46" s="1">
        <v>1745.04501717439</v>
      </c>
      <c r="AW46" s="1">
        <v>378</v>
      </c>
    </row>
    <row r="47" spans="1:49">
      <c r="A47" s="1">
        <v>15</v>
      </c>
      <c r="B47" s="1" t="s">
        <v>80</v>
      </c>
      <c r="C47" s="1">
        <v>6439.77566446916</v>
      </c>
      <c r="D47" s="1">
        <v>354</v>
      </c>
      <c r="H47">
        <v>6.21206380287995</v>
      </c>
      <c r="I47">
        <v>2.02036821298063</v>
      </c>
      <c r="J47">
        <v>0.216471896653737</v>
      </c>
      <c r="K47">
        <v>38.6775530816625</v>
      </c>
      <c r="L47">
        <v>1.83637683599894</v>
      </c>
      <c r="M47" s="1">
        <v>6439.77566446916</v>
      </c>
      <c r="N47" s="1">
        <v>354</v>
      </c>
      <c r="O47" s="1"/>
      <c r="P47" s="7">
        <v>6.2</v>
      </c>
      <c r="Q47" s="8">
        <v>2.02</v>
      </c>
      <c r="R47" s="8">
        <v>0.22</v>
      </c>
      <c r="S47" s="7">
        <v>38.7</v>
      </c>
      <c r="T47" s="8">
        <v>1.84</v>
      </c>
      <c r="U47" s="8">
        <v>6439.78</v>
      </c>
      <c r="V47" s="1">
        <v>354</v>
      </c>
      <c r="Y47" s="1" t="s">
        <v>81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O47" s="1">
        <v>16</v>
      </c>
      <c r="AP47" s="1" t="s">
        <v>62</v>
      </c>
      <c r="AQ47" s="1">
        <v>6.41561947762966</v>
      </c>
      <c r="AR47" s="1">
        <v>2.24535976350307</v>
      </c>
      <c r="AS47" s="1">
        <v>0.390381217002869</v>
      </c>
      <c r="AT47" s="1">
        <v>39.9388697147369</v>
      </c>
      <c r="AU47" s="1">
        <v>1.90165890753269</v>
      </c>
      <c r="AV47" s="1">
        <v>16077.5096604497</v>
      </c>
      <c r="AW47" s="1">
        <v>290</v>
      </c>
    </row>
    <row r="48" spans="1:49">
      <c r="A48" s="1">
        <v>16</v>
      </c>
      <c r="B48" s="1" t="s">
        <v>82</v>
      </c>
      <c r="C48" s="1">
        <v>2944.77230217333</v>
      </c>
      <c r="D48" s="1">
        <v>328</v>
      </c>
      <c r="H48">
        <v>1.79332597249124</v>
      </c>
      <c r="I48">
        <v>2.07518915595193</v>
      </c>
      <c r="J48">
        <v>0.207349687002845</v>
      </c>
      <c r="K48">
        <v>38.6528329004501</v>
      </c>
      <c r="L48">
        <v>1.90672721222178</v>
      </c>
      <c r="M48" s="1">
        <v>2944.77230217333</v>
      </c>
      <c r="N48" s="1">
        <v>328</v>
      </c>
      <c r="O48" s="1"/>
      <c r="P48" s="7">
        <v>1.8</v>
      </c>
      <c r="Q48" s="8">
        <v>2.08</v>
      </c>
      <c r="R48" s="8">
        <v>0.21</v>
      </c>
      <c r="S48" s="7">
        <v>38.7</v>
      </c>
      <c r="T48" s="8">
        <v>1.91</v>
      </c>
      <c r="U48" s="8">
        <v>2944.77</v>
      </c>
      <c r="V48" s="1">
        <v>328</v>
      </c>
      <c r="Y48" s="10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O48" s="1">
        <v>17</v>
      </c>
      <c r="AP48" s="1" t="s">
        <v>62</v>
      </c>
      <c r="AQ48" s="1">
        <v>7.140339141616</v>
      </c>
      <c r="AR48" s="1">
        <v>2.07822905699709</v>
      </c>
      <c r="AS48" s="1">
        <v>0.422377078335462</v>
      </c>
      <c r="AT48" s="1">
        <v>31.1520489677787</v>
      </c>
      <c r="AU48" s="1">
        <v>1.8569310752106</v>
      </c>
      <c r="AV48" s="1">
        <v>3022.37670020083</v>
      </c>
      <c r="AW48" s="1">
        <v>357</v>
      </c>
    </row>
    <row r="49" spans="1:49">
      <c r="A49" s="1">
        <v>17</v>
      </c>
      <c r="B49" s="1" t="s">
        <v>83</v>
      </c>
      <c r="C49" s="1">
        <v>3130.28546565408</v>
      </c>
      <c r="D49" s="1">
        <v>361</v>
      </c>
      <c r="H49">
        <v>4.15031266052366</v>
      </c>
      <c r="I49">
        <v>2.06126711174906</v>
      </c>
      <c r="J49">
        <v>0.419892996475615</v>
      </c>
      <c r="K49">
        <v>31.940626238719</v>
      </c>
      <c r="L49">
        <v>1.86706428013644</v>
      </c>
      <c r="M49" s="1">
        <v>3130.28546565408</v>
      </c>
      <c r="N49" s="1">
        <v>361</v>
      </c>
      <c r="O49" s="1"/>
      <c r="P49" s="7">
        <v>4.2</v>
      </c>
      <c r="Q49" s="8">
        <v>2.06</v>
      </c>
      <c r="R49" s="8">
        <v>0.42</v>
      </c>
      <c r="S49" s="7">
        <v>31.9</v>
      </c>
      <c r="T49" s="8">
        <v>1.87</v>
      </c>
      <c r="U49" s="8">
        <v>3130.29</v>
      </c>
      <c r="V49" s="1">
        <v>361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O49" s="1">
        <v>18</v>
      </c>
      <c r="AP49" s="1" t="s">
        <v>62</v>
      </c>
      <c r="AQ49" s="1">
        <v>7.38679473058995</v>
      </c>
      <c r="AR49" s="1">
        <v>2.04109992458048</v>
      </c>
      <c r="AS49" s="1">
        <v>0.434907690713857</v>
      </c>
      <c r="AT49" s="1">
        <v>34.8070036486101</v>
      </c>
      <c r="AU49" s="1">
        <v>1.76445234618989</v>
      </c>
      <c r="AV49" s="1">
        <v>7002.3858253775</v>
      </c>
      <c r="AW49" s="1">
        <v>338</v>
      </c>
    </row>
    <row r="50" spans="1:49">
      <c r="A50" s="1">
        <v>18</v>
      </c>
      <c r="B50" s="1" t="s">
        <v>84</v>
      </c>
      <c r="C50" s="1">
        <v>5671.38690313179</v>
      </c>
      <c r="D50" s="1">
        <v>369</v>
      </c>
      <c r="H50">
        <v>3.3566724807024</v>
      </c>
      <c r="I50">
        <v>2.04622261226177</v>
      </c>
      <c r="J50">
        <v>0.265579015016555</v>
      </c>
      <c r="K50">
        <v>30.7644890397787</v>
      </c>
      <c r="L50">
        <v>1.87783010303974</v>
      </c>
      <c r="M50" s="1">
        <v>5671.38690313179</v>
      </c>
      <c r="N50" s="1">
        <v>369</v>
      </c>
      <c r="O50" s="1"/>
      <c r="P50" s="7">
        <v>3.4</v>
      </c>
      <c r="Q50" s="8">
        <v>2.05</v>
      </c>
      <c r="R50" s="8">
        <v>0.27</v>
      </c>
      <c r="S50" s="7">
        <v>30.8</v>
      </c>
      <c r="T50" s="8">
        <v>1.88</v>
      </c>
      <c r="U50" s="8">
        <v>5671.39</v>
      </c>
      <c r="V50" s="1">
        <v>369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O50" s="1">
        <v>19</v>
      </c>
      <c r="AP50" s="1" t="s">
        <v>62</v>
      </c>
      <c r="AQ50" s="1">
        <v>9.381340807432</v>
      </c>
      <c r="AR50" s="1">
        <v>2.03973668159037</v>
      </c>
      <c r="AS50" s="1">
        <v>0.321395588471241</v>
      </c>
      <c r="AT50" s="1">
        <v>33.1618545623496</v>
      </c>
      <c r="AU50" s="1">
        <v>1.77005611609454</v>
      </c>
      <c r="AV50" s="1">
        <v>3894.68863134013</v>
      </c>
      <c r="AW50" s="1">
        <v>344</v>
      </c>
    </row>
    <row r="51" spans="1:49">
      <c r="A51" s="1">
        <v>19</v>
      </c>
      <c r="B51" s="1" t="s">
        <v>85</v>
      </c>
      <c r="C51" s="1">
        <v>2240.5704961979</v>
      </c>
      <c r="D51" s="1">
        <v>379</v>
      </c>
      <c r="H51">
        <v>4.44722758791961</v>
      </c>
      <c r="I51">
        <v>2.03793915039575</v>
      </c>
      <c r="J51">
        <v>0.372517456346897</v>
      </c>
      <c r="K51">
        <v>31.1346148739913</v>
      </c>
      <c r="L51">
        <v>1.92537713100411</v>
      </c>
      <c r="M51" s="1">
        <v>2240.5704961979</v>
      </c>
      <c r="N51" s="1">
        <v>379</v>
      </c>
      <c r="O51" s="1"/>
      <c r="P51" s="7">
        <v>4.4</v>
      </c>
      <c r="Q51" s="8">
        <v>2.04</v>
      </c>
      <c r="R51" s="8">
        <v>0.37</v>
      </c>
      <c r="S51" s="7">
        <v>31.1</v>
      </c>
      <c r="T51" s="8">
        <v>1.93</v>
      </c>
      <c r="U51" s="8">
        <v>2240.57</v>
      </c>
      <c r="V51" s="1">
        <v>379</v>
      </c>
      <c r="AO51" s="1">
        <v>20</v>
      </c>
      <c r="AP51" s="1" t="s">
        <v>62</v>
      </c>
      <c r="AQ51" s="1">
        <v>1.68922087697067</v>
      </c>
      <c r="AR51" s="1">
        <v>2.03682708044312</v>
      </c>
      <c r="AS51" s="1">
        <v>0.527540772624751</v>
      </c>
      <c r="AT51" s="1">
        <v>46.7537484458332</v>
      </c>
      <c r="AU51" s="1">
        <v>1.98161209397949</v>
      </c>
      <c r="AV51" s="1">
        <v>4770.1174577419</v>
      </c>
      <c r="AW51" s="1">
        <v>332</v>
      </c>
    </row>
    <row r="52" spans="1:49">
      <c r="A52" s="1">
        <v>20</v>
      </c>
      <c r="B52" s="1" t="s">
        <v>86</v>
      </c>
      <c r="C52" s="1">
        <v>5008.8957320402</v>
      </c>
      <c r="D52" s="1">
        <v>370</v>
      </c>
      <c r="H52">
        <v>8.65030765358641</v>
      </c>
      <c r="I52">
        <v>2.05587948468641</v>
      </c>
      <c r="J52">
        <v>0.353712339198792</v>
      </c>
      <c r="K52">
        <v>33.4909203700578</v>
      </c>
      <c r="L52">
        <v>1.95440162462182</v>
      </c>
      <c r="M52" s="1">
        <v>5008.8957320402</v>
      </c>
      <c r="N52" s="1">
        <v>370</v>
      </c>
      <c r="O52" s="1"/>
      <c r="P52" s="7">
        <v>8.7</v>
      </c>
      <c r="Q52" s="8">
        <v>2.06</v>
      </c>
      <c r="R52" s="8">
        <v>0.35</v>
      </c>
      <c r="S52" s="7">
        <v>33.5</v>
      </c>
      <c r="T52" s="8">
        <v>1.95</v>
      </c>
      <c r="U52" s="8">
        <v>5008.9</v>
      </c>
      <c r="V52" s="1">
        <v>370</v>
      </c>
      <c r="AO52" s="1">
        <v>21</v>
      </c>
      <c r="AP52" s="1" t="s">
        <v>62</v>
      </c>
      <c r="AQ52" s="1">
        <v>4.06231433960829</v>
      </c>
      <c r="AR52" s="1">
        <v>2.10523393557412</v>
      </c>
      <c r="AS52" s="1">
        <v>0.108597764994401</v>
      </c>
      <c r="AT52" s="1">
        <v>41.2382565902411</v>
      </c>
      <c r="AU52" s="1">
        <v>1.76010817961972</v>
      </c>
      <c r="AV52" s="1">
        <v>9337.45635445251</v>
      </c>
      <c r="AW52" s="1">
        <v>311</v>
      </c>
    </row>
    <row r="53" spans="1:49">
      <c r="A53" s="1">
        <v>21</v>
      </c>
      <c r="B53" s="1" t="s">
        <v>87</v>
      </c>
      <c r="C53" s="1">
        <v>6768.48634051207</v>
      </c>
      <c r="D53" s="1">
        <v>333</v>
      </c>
      <c r="H53">
        <v>5.74276041396234</v>
      </c>
      <c r="I53">
        <v>2.18713340139123</v>
      </c>
      <c r="J53">
        <v>0.454029974047555</v>
      </c>
      <c r="K53">
        <v>31.6292686772814</v>
      </c>
      <c r="L53">
        <v>1.91336421621963</v>
      </c>
      <c r="M53" s="1">
        <v>6768.48634051207</v>
      </c>
      <c r="N53" s="1">
        <v>333</v>
      </c>
      <c r="O53" s="1"/>
      <c r="P53" s="7">
        <v>5.7</v>
      </c>
      <c r="Q53" s="8">
        <v>2.19</v>
      </c>
      <c r="R53" s="8">
        <v>0.45</v>
      </c>
      <c r="S53" s="7">
        <v>31.6</v>
      </c>
      <c r="T53" s="8">
        <v>1.91</v>
      </c>
      <c r="U53" s="8">
        <v>6768.49</v>
      </c>
      <c r="V53" s="1">
        <v>333</v>
      </c>
      <c r="AO53" s="1">
        <v>22</v>
      </c>
      <c r="AP53" s="1" t="s">
        <v>62</v>
      </c>
      <c r="AQ53" s="1">
        <v>5.77766072750092</v>
      </c>
      <c r="AR53" s="1">
        <v>2.08137857913971</v>
      </c>
      <c r="AS53" s="1">
        <v>0.176724404096603</v>
      </c>
      <c r="AT53" s="1">
        <v>34.8615516424179</v>
      </c>
      <c r="AU53" s="1">
        <v>1.95966340601444</v>
      </c>
      <c r="AV53" s="1">
        <v>3909.21348028707</v>
      </c>
      <c r="AW53" s="1">
        <v>373</v>
      </c>
    </row>
    <row r="54" spans="1:49">
      <c r="A54" s="1">
        <v>22</v>
      </c>
      <c r="B54" s="1" t="s">
        <v>88</v>
      </c>
      <c r="C54" s="1">
        <v>1344.10310117128</v>
      </c>
      <c r="D54" s="1">
        <v>377</v>
      </c>
      <c r="H54">
        <v>4.29221473634243</v>
      </c>
      <c r="I54">
        <v>2.00976531207561</v>
      </c>
      <c r="J54">
        <v>0.173659369349479</v>
      </c>
      <c r="K54">
        <v>36.2477354854345</v>
      </c>
      <c r="L54">
        <v>1.91480003297328</v>
      </c>
      <c r="M54" s="1">
        <v>1344.10310117128</v>
      </c>
      <c r="N54" s="1">
        <v>377</v>
      </c>
      <c r="O54" s="1"/>
      <c r="P54" s="7">
        <v>4.3</v>
      </c>
      <c r="Q54" s="8">
        <v>2.01</v>
      </c>
      <c r="R54" s="8">
        <v>0.17</v>
      </c>
      <c r="S54" s="7">
        <v>36.2</v>
      </c>
      <c r="T54" s="8">
        <v>1.91</v>
      </c>
      <c r="U54" s="8">
        <v>1344.1</v>
      </c>
      <c r="V54" s="1">
        <v>377</v>
      </c>
      <c r="AO54" s="1">
        <v>23</v>
      </c>
      <c r="AP54" s="1" t="s">
        <v>62</v>
      </c>
      <c r="AQ54" s="1">
        <v>5.35160745228218</v>
      </c>
      <c r="AR54" s="1">
        <v>2.10759895552472</v>
      </c>
      <c r="AS54" s="1">
        <v>0.160336343580681</v>
      </c>
      <c r="AT54" s="1">
        <v>36.5928722418197</v>
      </c>
      <c r="AU54" s="1">
        <v>1.78985359060202</v>
      </c>
      <c r="AV54" s="1">
        <v>8149.27096040454</v>
      </c>
      <c r="AW54" s="1">
        <v>330</v>
      </c>
    </row>
    <row r="55" spans="1:49">
      <c r="A55" s="1">
        <v>23</v>
      </c>
      <c r="B55" s="1" t="s">
        <v>89</v>
      </c>
      <c r="C55" s="1">
        <v>2229.76642203683</v>
      </c>
      <c r="D55" s="1">
        <v>367</v>
      </c>
      <c r="H55">
        <v>7.47403687238693</v>
      </c>
      <c r="I55">
        <v>2.09234066307544</v>
      </c>
      <c r="J55">
        <v>0.246767073869705</v>
      </c>
      <c r="K55">
        <v>33.9364588558673</v>
      </c>
      <c r="L55">
        <v>1.97012643516063</v>
      </c>
      <c r="M55" s="1">
        <v>2229.76642203683</v>
      </c>
      <c r="N55" s="1">
        <v>367</v>
      </c>
      <c r="O55" s="1"/>
      <c r="P55" s="7">
        <v>7.5</v>
      </c>
      <c r="Q55" s="8">
        <v>2.09</v>
      </c>
      <c r="R55" s="8">
        <v>0.25</v>
      </c>
      <c r="S55" s="7">
        <v>33.9</v>
      </c>
      <c r="T55" s="8">
        <v>1.97</v>
      </c>
      <c r="U55" s="8">
        <v>2229.77</v>
      </c>
      <c r="V55" s="1">
        <v>367</v>
      </c>
      <c r="AO55" s="1">
        <v>24</v>
      </c>
      <c r="AP55" s="1" t="s">
        <v>62</v>
      </c>
      <c r="AQ55" s="1">
        <v>7.85616303502516</v>
      </c>
      <c r="AR55" s="1">
        <v>2.04658324527773</v>
      </c>
      <c r="AS55" s="1">
        <v>0.357049184972378</v>
      </c>
      <c r="AT55" s="1">
        <v>35.4912853738303</v>
      </c>
      <c r="AU55" s="1">
        <v>1.95974579438365</v>
      </c>
      <c r="AV55" s="1">
        <v>3068.0466060508</v>
      </c>
      <c r="AW55" s="1">
        <v>374</v>
      </c>
    </row>
    <row r="56" spans="1:49">
      <c r="A56" s="1">
        <v>24</v>
      </c>
      <c r="B56" s="1" t="s">
        <v>90</v>
      </c>
      <c r="C56" s="1">
        <v>4338.8132052942</v>
      </c>
      <c r="D56" s="1">
        <v>356</v>
      </c>
      <c r="H56">
        <v>9.46279274470542</v>
      </c>
      <c r="I56">
        <v>2.0897684302736</v>
      </c>
      <c r="J56">
        <v>0.200704450725943</v>
      </c>
      <c r="K56">
        <v>34.7823364585589</v>
      </c>
      <c r="L56">
        <v>1.92065937537102</v>
      </c>
      <c r="M56" s="1">
        <v>4338.8132052942</v>
      </c>
      <c r="N56" s="1">
        <v>356</v>
      </c>
      <c r="O56" s="1"/>
      <c r="P56" s="7">
        <v>9.5</v>
      </c>
      <c r="Q56" s="8">
        <v>2.09</v>
      </c>
      <c r="R56" s="8">
        <v>0.2</v>
      </c>
      <c r="S56" s="7">
        <v>34.8</v>
      </c>
      <c r="T56" s="8">
        <v>1.92</v>
      </c>
      <c r="U56" s="8">
        <v>4338.81</v>
      </c>
      <c r="V56" s="1">
        <v>356</v>
      </c>
      <c r="AO56" s="1">
        <v>25</v>
      </c>
      <c r="AP56" s="1" t="s">
        <v>62</v>
      </c>
      <c r="AQ56" s="1">
        <v>4.21496689319611</v>
      </c>
      <c r="AR56" s="1">
        <v>2.09383726119995</v>
      </c>
      <c r="AS56" s="1">
        <v>0.0516636520624161</v>
      </c>
      <c r="AT56" s="1">
        <v>33.589661821723</v>
      </c>
      <c r="AU56" s="1">
        <v>1.80623663961887</v>
      </c>
      <c r="AV56" s="1">
        <v>4672.96755025653</v>
      </c>
      <c r="AW56" s="1">
        <v>349</v>
      </c>
    </row>
    <row r="57" spans="1:49">
      <c r="A57" s="1">
        <v>25</v>
      </c>
      <c r="B57" s="1" t="s">
        <v>91</v>
      </c>
      <c r="C57" s="1">
        <v>5229.66933526723</v>
      </c>
      <c r="D57" s="1">
        <v>360</v>
      </c>
      <c r="H57">
        <v>3.12399667318959</v>
      </c>
      <c r="I57">
        <v>2.04912137407404</v>
      </c>
      <c r="J57">
        <v>0.522985690068977</v>
      </c>
      <c r="K57">
        <v>31.7993229817613</v>
      </c>
      <c r="L57">
        <v>1.86373012767049</v>
      </c>
      <c r="M57" s="1">
        <v>5229.66933526723</v>
      </c>
      <c r="N57" s="1">
        <v>360</v>
      </c>
      <c r="O57" s="1"/>
      <c r="P57" s="7">
        <v>3.1</v>
      </c>
      <c r="Q57" s="8">
        <v>2.05</v>
      </c>
      <c r="R57" s="8">
        <v>0.52</v>
      </c>
      <c r="S57" s="7">
        <v>31.8</v>
      </c>
      <c r="T57" s="8">
        <v>1.86</v>
      </c>
      <c r="U57" s="8">
        <v>5229.67</v>
      </c>
      <c r="V57" s="1">
        <v>360</v>
      </c>
      <c r="AO57" s="1">
        <v>26</v>
      </c>
      <c r="AP57" s="1" t="s">
        <v>62</v>
      </c>
      <c r="AQ57" s="1">
        <v>5.87745618271631</v>
      </c>
      <c r="AR57" s="1">
        <v>2.14675219266919</v>
      </c>
      <c r="AS57" s="1">
        <v>0.184351100671625</v>
      </c>
      <c r="AT57" s="1">
        <v>32.1951630481455</v>
      </c>
      <c r="AU57" s="1">
        <v>1.96739902881202</v>
      </c>
      <c r="AV57" s="1">
        <v>5523.123585317</v>
      </c>
      <c r="AW57" s="1">
        <v>364</v>
      </c>
    </row>
    <row r="58" spans="1:49">
      <c r="A58" s="1">
        <v>26</v>
      </c>
      <c r="B58" s="1" t="s">
        <v>92</v>
      </c>
      <c r="C58" s="1">
        <v>8291.38294459025</v>
      </c>
      <c r="D58" s="1">
        <v>292</v>
      </c>
      <c r="H58">
        <v>1.79280457545175</v>
      </c>
      <c r="I58">
        <v>2.25452251690587</v>
      </c>
      <c r="J58">
        <v>0.577712413098532</v>
      </c>
      <c r="K58">
        <v>32.0367543955715</v>
      </c>
      <c r="L58">
        <v>1.90351746342417</v>
      </c>
      <c r="M58" s="1">
        <v>8291.38294459025</v>
      </c>
      <c r="N58" s="1">
        <v>292</v>
      </c>
      <c r="O58" s="1"/>
      <c r="P58" s="7">
        <v>1.8</v>
      </c>
      <c r="Q58" s="8">
        <v>2.25</v>
      </c>
      <c r="R58" s="8">
        <v>0.58</v>
      </c>
      <c r="S58" s="7">
        <v>32</v>
      </c>
      <c r="T58" s="8">
        <v>1.9</v>
      </c>
      <c r="U58" s="8">
        <v>8291.38</v>
      </c>
      <c r="V58" s="1">
        <v>292</v>
      </c>
      <c r="AO58" s="1">
        <v>27</v>
      </c>
      <c r="AP58" s="1" t="s">
        <v>62</v>
      </c>
      <c r="AQ58" s="1">
        <v>11.1363061964512</v>
      </c>
      <c r="AR58" s="1">
        <v>2.0766823887825</v>
      </c>
      <c r="AS58" s="1">
        <v>0.238193333148956</v>
      </c>
      <c r="AT58" s="1">
        <v>32.125263184309</v>
      </c>
      <c r="AU58" s="1">
        <v>1.96403685212135</v>
      </c>
      <c r="AV58" s="1">
        <v>4462.89427457143</v>
      </c>
      <c r="AW58" s="1">
        <v>362</v>
      </c>
    </row>
    <row r="59" spans="1:49">
      <c r="A59" s="1">
        <v>27</v>
      </c>
      <c r="B59" s="1" t="s">
        <v>93</v>
      </c>
      <c r="C59" s="1">
        <v>3234.89804567131</v>
      </c>
      <c r="D59" s="1">
        <v>361</v>
      </c>
      <c r="H59">
        <v>5.75391695969207</v>
      </c>
      <c r="I59">
        <v>2.06790095760548</v>
      </c>
      <c r="J59">
        <v>0.259427640690001</v>
      </c>
      <c r="K59">
        <v>37.7437109328977</v>
      </c>
      <c r="L59">
        <v>1.93885727786534</v>
      </c>
      <c r="M59" s="1">
        <v>3234.89804567131</v>
      </c>
      <c r="N59" s="1">
        <v>361</v>
      </c>
      <c r="O59" s="1"/>
      <c r="P59" s="7">
        <v>5.8</v>
      </c>
      <c r="Q59" s="8">
        <v>2.07</v>
      </c>
      <c r="R59" s="8">
        <v>0.26</v>
      </c>
      <c r="S59" s="7">
        <v>37.7</v>
      </c>
      <c r="T59" s="8">
        <v>1.94</v>
      </c>
      <c r="U59" s="8">
        <v>3234.9</v>
      </c>
      <c r="V59" s="1">
        <v>361</v>
      </c>
      <c r="AO59" s="1">
        <v>28</v>
      </c>
      <c r="AP59" s="1" t="s">
        <v>62</v>
      </c>
      <c r="AQ59" s="1">
        <v>3.89199720479735</v>
      </c>
      <c r="AR59" s="1">
        <v>2.11649036211586</v>
      </c>
      <c r="AS59" s="1">
        <v>0.164509377408619</v>
      </c>
      <c r="AT59" s="1">
        <v>35.849686793423</v>
      </c>
      <c r="AU59" s="1">
        <v>1.94435974288218</v>
      </c>
      <c r="AV59" s="1">
        <v>3698.46983789643</v>
      </c>
      <c r="AW59" s="1">
        <v>357</v>
      </c>
    </row>
    <row r="60" spans="1:49">
      <c r="A60" s="1">
        <v>28</v>
      </c>
      <c r="B60" s="1" t="s">
        <v>94</v>
      </c>
      <c r="C60" s="1">
        <v>3826.02368220778</v>
      </c>
      <c r="D60" s="1">
        <v>362</v>
      </c>
      <c r="H60">
        <v>7.62331124286559</v>
      </c>
      <c r="I60">
        <v>2.06822267471441</v>
      </c>
      <c r="J60">
        <v>0.14044082508398</v>
      </c>
      <c r="K60">
        <v>38.5312328068305</v>
      </c>
      <c r="L60">
        <v>1.93430388658337</v>
      </c>
      <c r="M60" s="1">
        <v>3826.02368220778</v>
      </c>
      <c r="N60" s="1">
        <v>362</v>
      </c>
      <c r="O60" s="1"/>
      <c r="P60" s="7">
        <v>7.6</v>
      </c>
      <c r="Q60" s="8">
        <v>2.07</v>
      </c>
      <c r="R60" s="8">
        <v>0.14</v>
      </c>
      <c r="S60" s="7">
        <v>38.5</v>
      </c>
      <c r="T60" s="8">
        <v>1.93</v>
      </c>
      <c r="U60" s="8">
        <v>3826.02</v>
      </c>
      <c r="V60" s="1">
        <v>362</v>
      </c>
      <c r="AO60" s="1">
        <v>29</v>
      </c>
      <c r="AP60" s="1" t="s">
        <v>62</v>
      </c>
      <c r="AQ60" s="1">
        <v>6.42181309173974</v>
      </c>
      <c r="AR60" s="1">
        <v>2.13251346242389</v>
      </c>
      <c r="AS60" s="1">
        <v>0.0503597047645599</v>
      </c>
      <c r="AT60" s="1">
        <v>36.7667099193165</v>
      </c>
      <c r="AU60" s="1">
        <v>1.90116750755033</v>
      </c>
      <c r="AV60" s="1">
        <v>6143.39086536879</v>
      </c>
      <c r="AW60" s="1">
        <v>350</v>
      </c>
    </row>
    <row r="61" spans="1:49">
      <c r="A61" s="1">
        <v>29</v>
      </c>
      <c r="B61" s="1" t="s">
        <v>95</v>
      </c>
      <c r="C61" s="1">
        <v>2521.35601662818</v>
      </c>
      <c r="D61" s="1">
        <v>368</v>
      </c>
      <c r="H61">
        <v>5.77289598331958</v>
      </c>
      <c r="I61">
        <v>2.1014348497962</v>
      </c>
      <c r="J61">
        <v>0.207920606407406</v>
      </c>
      <c r="K61">
        <v>34.2637854282177</v>
      </c>
      <c r="L61">
        <v>1.97673181619617</v>
      </c>
      <c r="M61" s="1">
        <v>2521.35601662818</v>
      </c>
      <c r="N61" s="1">
        <v>368</v>
      </c>
      <c r="O61" s="1"/>
      <c r="P61" s="7">
        <v>5.8</v>
      </c>
      <c r="Q61" s="8">
        <v>2.1</v>
      </c>
      <c r="R61" s="8">
        <v>0.21</v>
      </c>
      <c r="S61" s="7">
        <v>34.3</v>
      </c>
      <c r="T61" s="8">
        <v>1.98</v>
      </c>
      <c r="U61" s="8">
        <v>2521.36</v>
      </c>
      <c r="V61" s="1">
        <v>368</v>
      </c>
      <c r="AO61" s="1">
        <v>30</v>
      </c>
      <c r="AP61" s="1" t="s">
        <v>62</v>
      </c>
      <c r="AQ61" s="1">
        <v>6.79491603916998</v>
      </c>
      <c r="AR61" s="1">
        <v>2.00375694931145</v>
      </c>
      <c r="AS61" s="1">
        <v>0.204401692239874</v>
      </c>
      <c r="AT61" s="1">
        <v>37.5182409114565</v>
      </c>
      <c r="AU61" s="1">
        <v>1.9104826083712</v>
      </c>
      <c r="AV61" s="1">
        <v>4647.50269338871</v>
      </c>
      <c r="AW61" s="1">
        <v>378</v>
      </c>
    </row>
    <row r="62" spans="1:49">
      <c r="A62" s="1">
        <v>30</v>
      </c>
      <c r="B62" s="1" t="s">
        <v>96</v>
      </c>
      <c r="C62" s="1">
        <v>4736.11820351917</v>
      </c>
      <c r="D62" s="1">
        <v>352</v>
      </c>
      <c r="H62">
        <v>7.52632914483547</v>
      </c>
      <c r="I62">
        <v>2.14900895953178</v>
      </c>
      <c r="J62">
        <v>0.194224819540977</v>
      </c>
      <c r="K62">
        <v>35.3159907609224</v>
      </c>
      <c r="L62">
        <v>1.97618614137172</v>
      </c>
      <c r="M62" s="1">
        <v>4736.11820351917</v>
      </c>
      <c r="N62" s="1">
        <v>352</v>
      </c>
      <c r="O62" s="1"/>
      <c r="P62" s="7">
        <v>7.5</v>
      </c>
      <c r="Q62" s="8">
        <v>2.15</v>
      </c>
      <c r="R62" s="8">
        <v>0.19</v>
      </c>
      <c r="S62" s="7">
        <v>35.3</v>
      </c>
      <c r="T62" s="8">
        <v>1.98</v>
      </c>
      <c r="U62" s="8">
        <v>4736.12</v>
      </c>
      <c r="V62" s="1">
        <v>352</v>
      </c>
      <c r="AO62" s="1">
        <v>1</v>
      </c>
      <c r="AP62" s="1" t="s">
        <v>97</v>
      </c>
      <c r="AQ62" s="1">
        <v>6.15386593341827</v>
      </c>
      <c r="AR62" s="1">
        <v>2.09313754737377</v>
      </c>
      <c r="AS62" s="1">
        <v>0.312720119953156</v>
      </c>
      <c r="AT62" s="1">
        <v>34.5052011758089</v>
      </c>
      <c r="AU62" s="1">
        <v>1.86343771219253</v>
      </c>
      <c r="AV62" s="1">
        <v>7745.9747803639</v>
      </c>
      <c r="AW62" s="1">
        <v>345</v>
      </c>
    </row>
    <row r="63" spans="41:49">
      <c r="AO63" s="1">
        <v>2</v>
      </c>
      <c r="AP63" s="1" t="s">
        <v>97</v>
      </c>
      <c r="AQ63" s="1">
        <v>6.28583822399378</v>
      </c>
      <c r="AR63" s="1">
        <v>2.01089996797964</v>
      </c>
      <c r="AS63" s="1">
        <v>0.0824361182749271</v>
      </c>
      <c r="AT63" s="1">
        <v>36.3686409220099</v>
      </c>
      <c r="AU63" s="1">
        <v>1.91444638790563</v>
      </c>
      <c r="AV63" s="1">
        <v>1719.20843817498</v>
      </c>
      <c r="AW63" s="1">
        <v>381</v>
      </c>
    </row>
    <row r="64" spans="41:49">
      <c r="AO64" s="1">
        <v>3</v>
      </c>
      <c r="AP64" s="1" t="s">
        <v>97</v>
      </c>
      <c r="AQ64" s="1">
        <v>3.10872909464749</v>
      </c>
      <c r="AR64" s="1">
        <v>2.11131346564751</v>
      </c>
      <c r="AS64" s="1">
        <v>0.362521074665176</v>
      </c>
      <c r="AT64" s="1">
        <v>34.9786871470101</v>
      </c>
      <c r="AU64" s="1">
        <v>1.91818106252241</v>
      </c>
      <c r="AV64" s="1">
        <v>2908.98997941486</v>
      </c>
      <c r="AW64" s="1">
        <v>345</v>
      </c>
    </row>
    <row r="65" spans="41:49">
      <c r="AO65" s="1">
        <v>4</v>
      </c>
      <c r="AP65" s="1" t="s">
        <v>97</v>
      </c>
      <c r="AQ65" s="1">
        <v>15.6003071665764</v>
      </c>
      <c r="AR65" s="1">
        <v>2.18572868406773</v>
      </c>
      <c r="AS65" s="1">
        <v>0.36570306122303</v>
      </c>
      <c r="AT65" s="1">
        <v>33.4777741581202</v>
      </c>
      <c r="AU65" s="1">
        <v>1.90762297809124</v>
      </c>
      <c r="AV65" s="1">
        <v>9279.14333877704</v>
      </c>
      <c r="AW65" s="1">
        <v>278</v>
      </c>
    </row>
    <row r="66" spans="41:49">
      <c r="AO66" s="1">
        <v>5</v>
      </c>
      <c r="AP66" s="1" t="s">
        <v>97</v>
      </c>
      <c r="AQ66" s="1">
        <v>7.39617871146692</v>
      </c>
      <c r="AR66" s="1">
        <v>2.06414784623456</v>
      </c>
      <c r="AS66" s="1">
        <v>0.438919505397444</v>
      </c>
      <c r="AT66" s="1">
        <v>38.6860172662306</v>
      </c>
      <c r="AU66" s="1">
        <v>1.97144299233332</v>
      </c>
      <c r="AV66" s="1">
        <v>5517.05866129342</v>
      </c>
      <c r="AW66" s="1">
        <v>360</v>
      </c>
    </row>
    <row r="67" spans="41:49">
      <c r="AO67" s="1">
        <v>6</v>
      </c>
      <c r="AP67" s="1" t="s">
        <v>97</v>
      </c>
      <c r="AQ67" s="1">
        <v>2.66444306820631</v>
      </c>
      <c r="AR67" s="1">
        <v>2.15845603495836</v>
      </c>
      <c r="AS67" s="1">
        <v>0.626516118180007</v>
      </c>
      <c r="AT67" s="1">
        <v>34.265720830299</v>
      </c>
      <c r="AU67" s="1">
        <v>1.74312817980535</v>
      </c>
      <c r="AV67" s="1">
        <v>13195.7294126017</v>
      </c>
      <c r="AW67" s="1">
        <v>300</v>
      </c>
    </row>
    <row r="68" spans="41:49">
      <c r="AO68" s="1">
        <v>7</v>
      </c>
      <c r="AP68" s="1" t="s">
        <v>97</v>
      </c>
      <c r="AQ68" s="1">
        <v>5.70303447544575</v>
      </c>
      <c r="AR68" s="1">
        <v>2.09872803092003</v>
      </c>
      <c r="AS68" s="1">
        <v>0.618531361222267</v>
      </c>
      <c r="AT68" s="1">
        <v>37.984638556838</v>
      </c>
      <c r="AU68" s="1">
        <v>1.94918055832386</v>
      </c>
      <c r="AV68" s="1">
        <v>5406.47823989617</v>
      </c>
      <c r="AW68" s="1">
        <v>351</v>
      </c>
    </row>
    <row r="69" spans="41:49">
      <c r="AO69" s="1">
        <v>8</v>
      </c>
      <c r="AP69" s="1" t="s">
        <v>97</v>
      </c>
      <c r="AQ69" s="1">
        <v>10.9201901257038</v>
      </c>
      <c r="AR69" s="1">
        <v>2.12348690629005</v>
      </c>
      <c r="AS69" s="1">
        <v>0.502162367105484</v>
      </c>
      <c r="AT69" s="1">
        <v>32.3001927286386</v>
      </c>
      <c r="AU69" s="1">
        <v>1.98343642055988</v>
      </c>
      <c r="AV69" s="1">
        <v>7079.54910017121</v>
      </c>
      <c r="AW69" s="1">
        <v>332</v>
      </c>
    </row>
    <row r="70" spans="41:49">
      <c r="AO70" s="1">
        <v>9</v>
      </c>
      <c r="AP70" s="1" t="s">
        <v>97</v>
      </c>
      <c r="AQ70" s="1">
        <v>2.65933447051793</v>
      </c>
      <c r="AR70" s="1">
        <v>2.06850028643385</v>
      </c>
      <c r="AS70" s="1">
        <v>0.919705139938742</v>
      </c>
      <c r="AT70" s="1">
        <v>39.3198735406622</v>
      </c>
      <c r="AU70" s="1">
        <v>1.81344969198108</v>
      </c>
      <c r="AV70" s="1">
        <v>10795.3817047876</v>
      </c>
      <c r="AW70" s="1">
        <v>326</v>
      </c>
    </row>
    <row r="71" spans="41:49">
      <c r="AO71" s="1">
        <v>10</v>
      </c>
      <c r="AP71" s="1" t="s">
        <v>97</v>
      </c>
      <c r="AQ71" s="1">
        <v>6.6987113793602</v>
      </c>
      <c r="AR71" s="1">
        <v>2.1800376697349</v>
      </c>
      <c r="AS71" s="1">
        <v>0.706273419475373</v>
      </c>
      <c r="AT71" s="1">
        <v>32.9917286429554</v>
      </c>
      <c r="AU71" s="1">
        <v>1.9022820141173</v>
      </c>
      <c r="AV71" s="1">
        <v>15838.9682642445</v>
      </c>
      <c r="AW71" s="1">
        <v>327</v>
      </c>
    </row>
    <row r="72" spans="41:49">
      <c r="AO72" s="1">
        <v>11</v>
      </c>
      <c r="AP72" s="1" t="s">
        <v>97</v>
      </c>
      <c r="AQ72" s="1">
        <v>7.26901279658018</v>
      </c>
      <c r="AR72" s="1">
        <v>2.07056975801142</v>
      </c>
      <c r="AS72" s="1">
        <v>0.583861498275593</v>
      </c>
      <c r="AT72" s="1">
        <v>32.259663480895</v>
      </c>
      <c r="AU72" s="1">
        <v>1.90519576661924</v>
      </c>
      <c r="AV72" s="1">
        <v>4574.33993528515</v>
      </c>
      <c r="AW72" s="1">
        <v>362</v>
      </c>
    </row>
    <row r="73" spans="41:49">
      <c r="AO73" s="1">
        <v>12</v>
      </c>
      <c r="AP73" s="1" t="s">
        <v>97</v>
      </c>
      <c r="AQ73" s="1">
        <v>5.80320307612419</v>
      </c>
      <c r="AR73" s="1">
        <v>2.07075576484203</v>
      </c>
      <c r="AS73" s="1">
        <v>0.309958353638649</v>
      </c>
      <c r="AT73" s="1">
        <v>33.4199897348881</v>
      </c>
      <c r="AU73" s="1">
        <v>1.92827299237251</v>
      </c>
      <c r="AV73" s="1">
        <v>2473.98567686596</v>
      </c>
      <c r="AW73" s="1">
        <v>371</v>
      </c>
    </row>
    <row r="74" spans="41:49">
      <c r="AO74" s="1">
        <v>13</v>
      </c>
      <c r="AP74" s="1" t="s">
        <v>97</v>
      </c>
      <c r="AQ74" s="1">
        <v>0.558885894715786</v>
      </c>
      <c r="AR74" s="1">
        <v>2.28897628257982</v>
      </c>
      <c r="AS74" s="1">
        <v>0.475526055321097</v>
      </c>
      <c r="AT74" s="1">
        <v>30.6205601245165</v>
      </c>
      <c r="AU74" s="1">
        <v>1.95425585028715</v>
      </c>
      <c r="AV74" s="1">
        <v>8738.34176616036</v>
      </c>
      <c r="AW74" s="1">
        <v>248</v>
      </c>
    </row>
    <row r="75" spans="41:49">
      <c r="AO75" s="1">
        <v>14</v>
      </c>
      <c r="AP75" s="1" t="s">
        <v>97</v>
      </c>
      <c r="AQ75" s="1">
        <v>8.84396116635233</v>
      </c>
      <c r="AR75" s="1">
        <v>2.26017360027161</v>
      </c>
      <c r="AS75" s="1">
        <v>0.620480518056173</v>
      </c>
      <c r="AT75" s="1">
        <v>31.4259947019925</v>
      </c>
      <c r="AU75" s="1">
        <v>1.78898637556227</v>
      </c>
      <c r="AV75" s="1">
        <v>13206.357362762</v>
      </c>
      <c r="AW75" s="1">
        <v>279</v>
      </c>
    </row>
    <row r="76" spans="41:49">
      <c r="AO76" s="1">
        <v>15</v>
      </c>
      <c r="AP76" s="1" t="s">
        <v>97</v>
      </c>
      <c r="AQ76" s="1">
        <v>6.59495065183979</v>
      </c>
      <c r="AR76" s="1">
        <v>2.13783558252883</v>
      </c>
      <c r="AS76" s="1">
        <v>0.454142882786569</v>
      </c>
      <c r="AT76" s="1">
        <v>38.3412164113816</v>
      </c>
      <c r="AU76" s="1">
        <v>1.90149019270255</v>
      </c>
      <c r="AV76" s="1">
        <v>7954.15695207429</v>
      </c>
      <c r="AW76" s="1">
        <v>329</v>
      </c>
    </row>
    <row r="77" spans="41:49">
      <c r="AO77" s="1">
        <v>16</v>
      </c>
      <c r="AP77" s="1" t="s">
        <v>97</v>
      </c>
      <c r="AQ77" s="1">
        <v>9.37696843493803</v>
      </c>
      <c r="AR77" s="1">
        <v>2.19585502397366</v>
      </c>
      <c r="AS77" s="1">
        <v>0.403124099957164</v>
      </c>
      <c r="AT77" s="1">
        <v>34.8233977172721</v>
      </c>
      <c r="AU77" s="1">
        <v>1.98868613037891</v>
      </c>
      <c r="AV77" s="1">
        <v>11239.8970429882</v>
      </c>
      <c r="AW77" s="1">
        <v>333</v>
      </c>
    </row>
    <row r="78" spans="41:49">
      <c r="AO78" s="1">
        <v>17</v>
      </c>
      <c r="AP78" s="1" t="s">
        <v>97</v>
      </c>
      <c r="AQ78" s="1">
        <v>8.85626798868179</v>
      </c>
      <c r="AR78" s="1">
        <v>2.05581100285053</v>
      </c>
      <c r="AS78" s="1">
        <v>0.437819719314575</v>
      </c>
      <c r="AT78" s="1">
        <v>36.0820471793413</v>
      </c>
      <c r="AU78" s="1">
        <v>1.84407526254654</v>
      </c>
      <c r="AV78" s="1">
        <v>6546.92834510816</v>
      </c>
      <c r="AW78" s="1">
        <v>343</v>
      </c>
    </row>
    <row r="79" spans="41:49">
      <c r="AO79" s="1">
        <v>18</v>
      </c>
      <c r="AP79" s="1" t="s">
        <v>97</v>
      </c>
      <c r="AQ79" s="1">
        <v>15.7604541182518</v>
      </c>
      <c r="AR79" s="1">
        <v>2.09048452973366</v>
      </c>
      <c r="AS79" s="1">
        <v>0.336729228496552</v>
      </c>
      <c r="AT79" s="1">
        <v>36.1719639748335</v>
      </c>
      <c r="AU79" s="1">
        <v>1.72312761843204</v>
      </c>
      <c r="AV79" s="1">
        <v>13531.2953741236</v>
      </c>
      <c r="AW79" s="1">
        <v>269</v>
      </c>
    </row>
    <row r="80" spans="41:49">
      <c r="AO80" s="1">
        <v>19</v>
      </c>
      <c r="AP80" s="1" t="s">
        <v>97</v>
      </c>
      <c r="AQ80" s="1">
        <v>11.9259389652116</v>
      </c>
      <c r="AR80" s="1">
        <v>2.16540240632014</v>
      </c>
      <c r="AS80" s="1">
        <v>0.62993549121574</v>
      </c>
      <c r="AT80" s="1">
        <v>40.7427321166119</v>
      </c>
      <c r="AU80" s="1">
        <v>1.99621191155165</v>
      </c>
      <c r="AV80" s="1">
        <v>9209.95666246794</v>
      </c>
      <c r="AW80" s="1">
        <v>290</v>
      </c>
    </row>
    <row r="81" spans="41:49">
      <c r="AO81" s="1">
        <v>20</v>
      </c>
      <c r="AP81" s="1" t="s">
        <v>97</v>
      </c>
      <c r="AQ81" s="1">
        <v>8.25323449304875</v>
      </c>
      <c r="AR81" s="1">
        <v>2.17024384389302</v>
      </c>
      <c r="AS81" s="1">
        <v>0.329608221613849</v>
      </c>
      <c r="AT81" s="1">
        <v>38.4247914385951</v>
      </c>
      <c r="AU81" s="1">
        <v>1.92103229020722</v>
      </c>
      <c r="AV81" s="1">
        <v>10104.6375482174</v>
      </c>
      <c r="AW81" s="1">
        <v>322</v>
      </c>
    </row>
    <row r="82" spans="41:49">
      <c r="AO82" s="1">
        <v>21</v>
      </c>
      <c r="AP82" s="1" t="s">
        <v>97</v>
      </c>
      <c r="AQ82" s="1">
        <v>8.57272589166775</v>
      </c>
      <c r="AR82" s="1">
        <v>2.13694467285738</v>
      </c>
      <c r="AS82" s="1">
        <v>0.661432823647506</v>
      </c>
      <c r="AT82" s="1">
        <v>36.1522442704916</v>
      </c>
      <c r="AU82" s="1">
        <v>1.96236933167018</v>
      </c>
      <c r="AV82" s="1">
        <v>12286.3385175199</v>
      </c>
      <c r="AW82" s="1">
        <v>338</v>
      </c>
    </row>
    <row r="83" spans="41:49">
      <c r="AO83" s="1">
        <v>22</v>
      </c>
      <c r="AP83" s="1" t="s">
        <v>97</v>
      </c>
      <c r="AQ83" s="1">
        <v>8.78821511031456</v>
      </c>
      <c r="AR83" s="1">
        <v>2.11563943951226</v>
      </c>
      <c r="AS83" s="1">
        <v>0.560808082387658</v>
      </c>
      <c r="AT83" s="1">
        <v>30.0776796601713</v>
      </c>
      <c r="AU83" s="1">
        <v>1.91674227879964</v>
      </c>
      <c r="AV83" s="1">
        <v>6551.14044215791</v>
      </c>
      <c r="AW83" s="1">
        <v>353</v>
      </c>
    </row>
    <row r="84" spans="41:49">
      <c r="AO84" s="1">
        <v>23</v>
      </c>
      <c r="AP84" s="1" t="s">
        <v>97</v>
      </c>
      <c r="AQ84" s="1">
        <v>8.30453359235525</v>
      </c>
      <c r="AR84" s="1">
        <v>2.10723671027889</v>
      </c>
      <c r="AS84" s="1">
        <v>0.463661818859023</v>
      </c>
      <c r="AT84" s="1">
        <v>38.1947850809318</v>
      </c>
      <c r="AU84" s="1">
        <v>1.77708098334731</v>
      </c>
      <c r="AV84" s="1">
        <v>11262.0014290441</v>
      </c>
      <c r="AW84" s="1">
        <v>306</v>
      </c>
    </row>
    <row r="85" spans="41:49">
      <c r="AO85" s="1">
        <v>24</v>
      </c>
      <c r="AP85" s="1" t="s">
        <v>97</v>
      </c>
      <c r="AQ85" s="1">
        <v>4.97193114984293</v>
      </c>
      <c r="AR85" s="1">
        <v>2.08058771468124</v>
      </c>
      <c r="AS85" s="1">
        <v>0.199458853126518</v>
      </c>
      <c r="AT85" s="1">
        <v>40.5600959875027</v>
      </c>
      <c r="AU85" s="1">
        <v>1.82864698348567</v>
      </c>
      <c r="AV85" s="1">
        <v>6736.59407225781</v>
      </c>
      <c r="AW85" s="1">
        <v>334</v>
      </c>
    </row>
    <row r="86" spans="41:49">
      <c r="AO86" s="1">
        <v>25</v>
      </c>
      <c r="AP86" s="1" t="s">
        <v>97</v>
      </c>
      <c r="AQ86" s="1">
        <v>3.64205074688102</v>
      </c>
      <c r="AR86" s="1">
        <v>2.14534926211568</v>
      </c>
      <c r="AS86" s="1">
        <v>0.413967989023947</v>
      </c>
      <c r="AT86" s="1">
        <v>37.1582294030025</v>
      </c>
      <c r="AU86" s="1">
        <v>1.76119786202852</v>
      </c>
      <c r="AV86" s="1">
        <v>11728.3498354267</v>
      </c>
      <c r="AW86" s="1">
        <v>317</v>
      </c>
    </row>
    <row r="87" spans="41:49">
      <c r="AO87" s="1">
        <v>26</v>
      </c>
      <c r="AP87" s="1" t="s">
        <v>97</v>
      </c>
      <c r="AQ87" s="1">
        <v>8.14783926308155</v>
      </c>
      <c r="AR87" s="1">
        <v>2.06815020740032</v>
      </c>
      <c r="AS87" s="1">
        <v>0.249946385622025</v>
      </c>
      <c r="AT87" s="1">
        <v>35.1161183863878</v>
      </c>
      <c r="AU87" s="1">
        <v>1.93552324175835</v>
      </c>
      <c r="AV87" s="1">
        <v>4880.80984656859</v>
      </c>
      <c r="AW87" s="1">
        <v>368</v>
      </c>
    </row>
    <row r="88" spans="41:49">
      <c r="AO88" s="1">
        <v>27</v>
      </c>
      <c r="AP88" s="1" t="s">
        <v>97</v>
      </c>
      <c r="AQ88" s="1">
        <v>12.354598775506</v>
      </c>
      <c r="AR88" s="1">
        <v>2.13675224781036</v>
      </c>
      <c r="AS88" s="1">
        <v>0.841436192393303</v>
      </c>
      <c r="AT88" s="1">
        <v>35.1045737415552</v>
      </c>
      <c r="AU88" s="1">
        <v>1.86427782475948</v>
      </c>
      <c r="AV88" s="1">
        <v>14007.3477807662</v>
      </c>
      <c r="AW88" s="1">
        <v>273</v>
      </c>
    </row>
    <row r="89" spans="41:49">
      <c r="AO89" s="1">
        <v>28</v>
      </c>
      <c r="AP89" s="1" t="s">
        <v>97</v>
      </c>
      <c r="AQ89" s="1">
        <v>6.9333993345499</v>
      </c>
      <c r="AR89" s="1">
        <v>2.0291256904602</v>
      </c>
      <c r="AS89" s="1">
        <v>0.330420985817909</v>
      </c>
      <c r="AT89" s="1">
        <v>36.1285035014153</v>
      </c>
      <c r="AU89" s="1">
        <v>1.90064516663551</v>
      </c>
      <c r="AV89" s="1">
        <v>3022.82277626461</v>
      </c>
      <c r="AW89" s="1">
        <v>369</v>
      </c>
    </row>
    <row r="90" spans="41:49">
      <c r="AO90" s="1">
        <v>29</v>
      </c>
      <c r="AP90" s="1" t="s">
        <v>97</v>
      </c>
      <c r="AQ90" s="1">
        <v>8.76095025639067</v>
      </c>
      <c r="AR90" s="1">
        <v>2.10913621979032</v>
      </c>
      <c r="AS90" s="1">
        <v>0.381476858638075</v>
      </c>
      <c r="AT90" s="1">
        <v>37.4377183473304</v>
      </c>
      <c r="AU90" s="1">
        <v>1.86610168942051</v>
      </c>
      <c r="AV90" s="1">
        <v>8338.60707168985</v>
      </c>
      <c r="AW90" s="1">
        <v>329</v>
      </c>
    </row>
    <row r="91" spans="41:49">
      <c r="AO91" s="1">
        <v>30</v>
      </c>
      <c r="AP91" s="1" t="s">
        <v>97</v>
      </c>
      <c r="AQ91" s="1">
        <v>9.16377622886271</v>
      </c>
      <c r="AR91" s="1">
        <v>2.15575286266829</v>
      </c>
      <c r="AS91" s="1">
        <v>0.328446700480659</v>
      </c>
      <c r="AT91" s="1">
        <v>33.0086422988591</v>
      </c>
      <c r="AU91" s="1">
        <v>1.93348551336659</v>
      </c>
      <c r="AV91" s="1">
        <v>10604.6353859853</v>
      </c>
      <c r="AW91" s="1">
        <v>342</v>
      </c>
    </row>
  </sheetData>
  <mergeCells count="21">
    <mergeCell ref="Z6:AA6"/>
    <mergeCell ref="AB6:AC6"/>
    <mergeCell ref="AD6:AE6"/>
    <mergeCell ref="AF6:AG6"/>
    <mergeCell ref="AH6:AI6"/>
    <mergeCell ref="AJ6:AK6"/>
    <mergeCell ref="AL6:AM6"/>
    <mergeCell ref="Z41:AA41"/>
    <mergeCell ref="AB41:AC41"/>
    <mergeCell ref="AD41:AE41"/>
    <mergeCell ref="AF41:AG41"/>
    <mergeCell ref="AH41:AI41"/>
    <mergeCell ref="AJ41:AK41"/>
    <mergeCell ref="Z47:AA47"/>
    <mergeCell ref="AB47:AC47"/>
    <mergeCell ref="AD47:AE47"/>
    <mergeCell ref="AF47:AG47"/>
    <mergeCell ref="AH47:AI47"/>
    <mergeCell ref="AJ47:AK47"/>
    <mergeCell ref="Y6:Y7"/>
    <mergeCell ref="Y41:Y42"/>
  </mergeCells>
  <conditionalFormatting sqref="D2:D31">
    <cfRule type="top10" dxfId="0" priority="2" rank="1"/>
  </conditionalFormatting>
  <conditionalFormatting sqref="D33:D62">
    <cfRule type="top10" dxfId="0" priority="1" rank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2025-05-27T12:26:00Z</dcterms:created>
  <dcterms:modified xsi:type="dcterms:W3CDTF">2025-08-08T09:13:15Z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8AAF355678FD47BB9217944BBB86CA56_12</vt:lpwstr>
  </property>
  <property fmtid="{D5CDD505-2E9C-101B-9397-08002B2CF9AE}" pid="3" name="KSOProductBuildVer">
    <vt:lpwstr>2052-12.1.0.21915</vt:lpwstr>
  </property>
</Properties>
</file>