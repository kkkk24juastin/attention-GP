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<sst xmlns="http://schemas.openxmlformats.org/spreadsheetml/2006/main" count="104" uniqueCount="84">
  <si>
    <t>cycle</t>
  </si>
  <si>
    <t>resultpm</t>
  </si>
  <si>
    <t>QL_pm</t>
  </si>
  <si>
    <t>最大飞行高度</t>
  </si>
  <si>
    <t>ACT</t>
  </si>
  <si>
    <t>LHS</t>
  </si>
  <si>
    <t>[5.423354209754647, 2.016041605338376, 0.26988025363884327, 33.25159013793008, 1.9189872537672368]</t>
  </si>
  <si>
    <t>最大值</t>
  </si>
  <si>
    <t>[6.369735613465309, 2.0362340211868286, 0.41492266952991486, 30.210106268525124, 1.9808138608932495]</t>
  </si>
  <si>
    <t>最小值</t>
  </si>
  <si>
    <t>[5.5328487251132685, 2.076883058442977, 0.26166428819399534, 30.060683758929372, 1.9180678715015194]</t>
  </si>
  <si>
    <t>中位数</t>
  </si>
  <si>
    <t>[5.7432220578193665, 2.0497925132513046, 0.21907806396484375, 34.11203075945377, 1.963075965642929]</t>
  </si>
  <si>
    <t>平均值</t>
  </si>
  <si>
    <t>[6.908533150472959, 2.0505772413713785, 0.40096880412875746, 31.270389966527524, 1.9765160481948079]</t>
  </si>
  <si>
    <t>Q1</t>
  </si>
  <si>
    <t>[12.162343263626099, 2.0573680847883224, 0.4397112876176834, 30.746156737208366, 1.9729653298854828]</t>
  </si>
  <si>
    <t>Q3</t>
  </si>
  <si>
    <t>[5.07374507188797, 2.044838562607765, 0.3164113014936447, 30.192162424325943, 1.9472337663173676]</t>
  </si>
  <si>
    <t>[5.407202571630478, 2.018176406621933, 0.2780885845422745, 39.27165548503399, 1.9522022306919098]</t>
  </si>
  <si>
    <t>QL</t>
  </si>
  <si>
    <t>[14.78296726888834, 2.059287518149757, 0.4554403802918307, 32.55572589057514, 1.9819132604949994]</t>
  </si>
  <si>
    <t>[2.5499849673360586, 2.084725463297218, 0.1393126007169485, 31.699071414768696, 1.9014615751802921]</t>
  </si>
  <si>
    <t>[1.8301870300828118, 2.02646468308386, 0.37882896650961895, 32.02831528263778, 1.9467038811276813]</t>
  </si>
  <si>
    <t>[2.1906841099262238, 2.0277486741542816, 0.14256954193115234, 37.73478701710701, 1.9765998125076294]</t>
  </si>
  <si>
    <t>[1.6461406555008384, 2.059131704494168, 0.13300902419969626, 33.34276250495798, 1.9863091611447306]</t>
  </si>
  <si>
    <t>[4.764478995941445, 2.012851166771725, 0.10337170884099563, 37.0847549954028, 1.9762025607712235]</t>
  </si>
  <si>
    <t>[11.535080324076453, 2.0510554181830796, 0.10131977414257186, 30.93972415983057, 1.9200218759477559]</t>
  </si>
  <si>
    <t>[1.8917580101514146, 2.0961682107192425, 0.2911953302414102, 33.630425979429766, 1.9737907090266087]</t>
  </si>
  <si>
    <t>[5.630185546557495, 2.070241898509561, 0.3264282039230946, 31.568589536473155, 1.8773517309904495]</t>
  </si>
  <si>
    <t>[4.622266518444193, 2.015727829610037, 0.17690877151405007, 36.31231250243276, 1.9575352443405718]</t>
  </si>
  <si>
    <t>[4.80586851661403, 2.0587341706931053, 0.22236495408155055, 34.459447590551456, 1.9443808138022751]</t>
  </si>
  <si>
    <t>[7.328542426228523, 2.032849609851837, 0.017848268151283264, 36.50350768864155, 1.9128971546888351]</t>
  </si>
  <si>
    <t>[1.2761022709310055, 2.023373551770175, 0.2718133277685158, 32.093042093335, 1.9133635624320091]</t>
  </si>
  <si>
    <t>[1.1826059465029395, 2.158575162263192, 0.14762482534218194, 32.599588670971706, 1.9612923920933598]</t>
  </si>
  <si>
    <t>[1.8785529909655452, 2.074278053452137, 0.2734836866099986, 32.300868248312625, 1.9348961751380869]</t>
  </si>
  <si>
    <t>[7.190947550060896, 2.0346217740108377, 0.3130598409639531, 30.917793007120626, 1.9908443994354457]</t>
  </si>
  <si>
    <t>[7.141717627644539, 2.045553997159004, 0.21612565219402313, 33.82127374410629, 1.9929540753364563]</t>
  </si>
  <si>
    <t>[7.69079767305644, 2.1590884562591364, 0.6177908904933088, 30.88441419919658, 1.947282030839126]</t>
  </si>
  <si>
    <t>[3.530338278907531, 2.0806534593483303, 0.13033972492816948, 30.27590514485143, 1.9833424508577249]</t>
  </si>
  <si>
    <t>[4.21503356517453, 2.070257836312619, 0.04306429182179272, 32.75657476863814, 1.9366167526848244]</t>
  </si>
  <si>
    <t>[2.1059615463018417, 2.0098379254341125, 0.3683832883834839, 30.395413175225258, 1.955795779824257]</t>
  </si>
  <si>
    <t>[4.328135643127941, 2.034407512230597, 0.11585187532846858, 31.792007834321595, 1.9927314510081786]</t>
  </si>
  <si>
    <t>resultlhs</t>
  </si>
  <si>
    <t>QL_lhs</t>
  </si>
  <si>
    <t>[3.8947877986356616, 2.1953031348530203, 0.020420063752681017, 41.472083395347, 1.7997513934969902]</t>
  </si>
  <si>
    <t>[8.225557315432148, 2.0861612268723486, 0.2709778540257887, 39.84215321875527, 1.9535824223421514]</t>
  </si>
  <si>
    <t>[5.9629159836068055, 2.115011056324445, 0.12008951557800174, 33.66584030531363, 1.89998589483189]</t>
  </si>
  <si>
    <t>[8.462577214259653, 2.062817899734562, 0.08645271417815868, 33.784655805027654, 1.8211578261485206]</t>
  </si>
  <si>
    <t>[2.2781043080613017, 2.0012116900179535, 0.3642493283841759, 30.419722879305482, 1.7766979169100523]</t>
  </si>
  <si>
    <t>[2.8145232711058927, 2.0961762486963296, 0.520395313884676, 31.213067340364788, 1.863629306379814]</t>
  </si>
  <si>
    <t>[7.687224277366604, 2.085449485309278, 0.18036841498830183, 37.229421331538504, 1.9142915020611166]</t>
  </si>
  <si>
    <t>[7.435453746014101, 2.1120593218006576, 0.1911364632241277, 34.540426434803805, 1.9589427805474449]</t>
  </si>
  <si>
    <t>[4.104521483182907, 2.066515803337097, 0.48398786783218384, 33.106582060456276, 1.920747548341751]</t>
  </si>
  <si>
    <t>[7.2506566058261415, 2.0589516579794047, 0.17258234132145273, 36.293475523926524, 1.877698834680341]</t>
  </si>
  <si>
    <t>[1.449353814125061, 2.0421653985977173, 0.25342705845832825, 32.73326666653156, 1.8599821478128433]</t>
  </si>
  <si>
    <t>[2.229937826274664, 2.103502849773446, 0.17955182735683367, 39.255954521227125, 1.8891513802853632]</t>
  </si>
  <si>
    <t>[7.3474545317558295, 2.180513442518756, 0.21902581598975157, 31.669982448220253, 1.9405408179913777]</t>
  </si>
  <si>
    <t>[6.5111104691315616, 2.0676643526427245, 0.08382172719575465, 36.35895494038003, 1.9285480291873545]</t>
  </si>
  <si>
    <t>[6.212063802879958, 2.020368212980638, 0.21647189665373703, 38.67755308166256, 1.8363768359989432]</t>
  </si>
  <si>
    <t>[1.7933259724912456, 2.0751891559519304, 0.2073496870028453, 38.65283290045014, 1.9067272122217818]</t>
  </si>
  <si>
    <t>[4.150312660523664, 2.0612671117490633, 0.4198929964756152, 31.94062623871907, 1.867064280136447]</t>
  </si>
  <si>
    <t>[3.3566724807024, 2.046222612261772, 0.2655790150165558, 30.76448903977871, 1.8778301030397415]</t>
  </si>
  <si>
    <t>[4.447227587919617, 2.0379391503957587, 0.37251745634689776, 31.134614873991396, 1.9253771310041188]</t>
  </si>
  <si>
    <t>[8.650307653586417, 2.05587948468641, 0.3537123391987925, 33.490920370057836, 1.9544016246218234]</t>
  </si>
  <si>
    <t>[5.742760413962346, 2.1871334013912334, 0.45402997404755563, 31.62926867728146, 1.9133642162196338]</t>
  </si>
  <si>
    <t>[4.29221473634243, 2.009765312075615, 0.17365936934947968, 36.24773548543453, 1.9148000329732895]</t>
  </si>
  <si>
    <t>[7.474036872386932, 2.092340663075447, 0.2467670738697052, 33.936458855867386, 1.970126435160637]</t>
  </si>
  <si>
    <t>[9.462792744705421, 2.0897684302736037, 0.20070445072594373, 34.78233645855896, 1.9206593753710286]</t>
  </si>
  <si>
    <t>[3.1239966731895943, 2.049121374074048, 0.5229856900689772, 31.79932298176133, 1.8637301276704985]</t>
  </si>
  <si>
    <t>[1.792804575451751, 2.2545225169058765, 0.5777124130985328, 32.03675439557159, 1.9035174634241725]</t>
  </si>
  <si>
    <t>[5.753916959692073, 2.067900957605487, 0.2594276406900015, 37.74371093289773, 1.938857277865341]</t>
  </si>
  <si>
    <t>[7.62331124286559, 2.0682226747144195, 0.1404408250839802, 38.531232806830566, 1.9343038865833786]</t>
  </si>
  <si>
    <t>[5.772895983319588, 2.1014348497962017, 0.20792060640740623, 34.26378542821778, 1.9767318161961784]</t>
  </si>
  <si>
    <t>[7.526329144835472, 2.149008959531784, 0.19422481954097748, 35.31599076092243, 1.976186141371727]</t>
  </si>
  <si>
    <t>序号</t>
  </si>
  <si>
    <t>X1</t>
  </si>
  <si>
    <t>X2</t>
  </si>
  <si>
    <t>X3</t>
  </si>
  <si>
    <t>X4</t>
  </si>
  <si>
    <t>X5</t>
  </si>
  <si>
    <t>外形</t>
  </si>
  <si>
    <t>Y</t>
  </si>
  <si>
    <t>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</si>
</sst>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color theme="1"/>
      <name val="Segoe UI"/>
      <charset val="134"/>
    </font>
    <font>
      <sz val="11"/>
      <color theme="1"/>
      <name val="Segoe UI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2"/>
  <sheetViews>
    <sheetView tabSelected="1" zoomScale="115" zoomScaleNormal="115" topLeftCell="C86" workbookViewId="0">
      <selection activeCell="G71" sqref="G71:U122"/>
    </sheetView>
  </sheetViews>
  <sheetFormatPr defaultColWidth="9" defaultRowHeight="13.5"/>
  <cols>
    <col min="1" max="1" width="7.375" style="1" customWidth="1"/>
    <col min="2" max="2" width="111.5" style="1" customWidth="1"/>
    <col min="3" max="3" width="12.75" style="1" customWidth="1"/>
    <col min="4" max="5" width="14.125" style="1" customWidth="1"/>
    <col min="6" max="6" width="6.5" style="1" customWidth="1"/>
    <col min="7" max="7" width="6.5" style="2" customWidth="1"/>
    <col min="21" max="21" width="12.625"/>
  </cols>
  <sheetData>
    <row r="1" spans="1:23">
      <c r="A1" s="3" t="s">
        <v>0</v>
      </c>
      <c r="B1" s="3" t="s">
        <v>1</v>
      </c>
      <c r="C1" s="3" t="s">
        <v>2</v>
      </c>
      <c r="D1" s="4" t="s">
        <v>3</v>
      </c>
      <c r="E1" s="4" t="s">
        <v>3</v>
      </c>
      <c r="F1" s="1" t="s">
        <v>4</v>
      </c>
      <c r="G1" s="2" t="s">
        <v>5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ht="16.5" spans="1:22">
      <c r="A2" s="1">
        <v>1</v>
      </c>
      <c r="B2" s="1" t="s">
        <v>6</v>
      </c>
      <c r="C2" s="1">
        <v>3304.06749141788</v>
      </c>
      <c r="D2" s="1">
        <v>381</v>
      </c>
      <c r="E2" s="5" t="s">
        <v>7</v>
      </c>
      <c r="F2" s="6">
        <f>MAX(D2:D31)</f>
        <v>391</v>
      </c>
      <c r="G2" s="6">
        <f>MAX(D33:D62)</f>
        <v>379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ht="16.5" spans="1:22">
      <c r="A3" s="1">
        <v>2</v>
      </c>
      <c r="B3" s="1" t="s">
        <v>8</v>
      </c>
      <c r="C3" s="1">
        <v>398.302887760381</v>
      </c>
      <c r="D3" s="1">
        <v>389</v>
      </c>
      <c r="E3" s="7" t="s">
        <v>9</v>
      </c>
      <c r="F3" s="6">
        <f>MIN(D2:D31)</f>
        <v>303</v>
      </c>
      <c r="G3" s="6">
        <f>MIN(D33:D62)</f>
        <v>287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ht="16.5" spans="1:22">
      <c r="A4" s="1">
        <v>3</v>
      </c>
      <c r="B4" s="1" t="s">
        <v>10</v>
      </c>
      <c r="C4" s="1">
        <v>1118.44746205858</v>
      </c>
      <c r="D4" s="1">
        <v>373</v>
      </c>
      <c r="E4" s="5" t="s">
        <v>11</v>
      </c>
      <c r="F4" s="6">
        <f>MEDIAN(D2:D31)</f>
        <v>373</v>
      </c>
      <c r="G4" s="6">
        <f>MEDIAN(D33:D62)</f>
        <v>356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ht="16.5" spans="1:22">
      <c r="A5" s="1">
        <v>4</v>
      </c>
      <c r="B5" s="1" t="s">
        <v>12</v>
      </c>
      <c r="C5" s="1">
        <v>4798.05818412192</v>
      </c>
      <c r="D5" s="1">
        <v>379</v>
      </c>
      <c r="E5" s="5" t="s">
        <v>13</v>
      </c>
      <c r="F5" s="6">
        <f>AVERAGE(D2:D31)</f>
        <v>365.6</v>
      </c>
      <c r="G5" s="6">
        <f>AVERAGE(D33:D62)</f>
        <v>351.6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ht="16.5" spans="1:22">
      <c r="A6" s="1">
        <v>5</v>
      </c>
      <c r="B6" s="1" t="s">
        <v>14</v>
      </c>
      <c r="C6" s="1">
        <v>1491.19038144136</v>
      </c>
      <c r="D6" s="1">
        <v>382</v>
      </c>
      <c r="E6" s="5" t="s">
        <v>15</v>
      </c>
      <c r="F6" s="6">
        <f>QUARTILE(D2:D31,1)</f>
        <v>348.25</v>
      </c>
      <c r="G6" s="6">
        <f>QUARTILE(D33:D62,1)</f>
        <v>347.25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ht="16.5" spans="1:22">
      <c r="A7" s="1">
        <v>6</v>
      </c>
      <c r="B7" s="1" t="s">
        <v>16</v>
      </c>
      <c r="C7" s="1">
        <v>416.517091086447</v>
      </c>
      <c r="D7" s="1">
        <v>346</v>
      </c>
      <c r="E7" s="5" t="s">
        <v>17</v>
      </c>
      <c r="F7" s="6">
        <f>QUARTILE(D2:D31,3)</f>
        <v>381.75</v>
      </c>
      <c r="G7" s="6">
        <f>QUARTILE(D33:D62,3)</f>
        <v>364.25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>
      <c r="A8" s="1">
        <v>7</v>
      </c>
      <c r="B8" s="1" t="s">
        <v>18</v>
      </c>
      <c r="C8" s="1">
        <v>1007.93729680908</v>
      </c>
      <c r="D8" s="1">
        <v>384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>
      <c r="A9" s="1">
        <v>8</v>
      </c>
      <c r="B9" s="1" t="s">
        <v>19</v>
      </c>
      <c r="C9" s="1">
        <v>3313.71350413884</v>
      </c>
      <c r="D9" s="1">
        <v>373</v>
      </c>
      <c r="E9" s="1" t="s">
        <v>20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ht="16.5" spans="1:22">
      <c r="A10" s="1">
        <v>9</v>
      </c>
      <c r="B10" s="1" t="s">
        <v>21</v>
      </c>
      <c r="C10" s="1">
        <v>276.538418999699</v>
      </c>
      <c r="D10" s="1">
        <v>330</v>
      </c>
      <c r="E10" s="5" t="s">
        <v>7</v>
      </c>
      <c r="F10" s="1">
        <f>MAX(C2:C31)</f>
        <v>4798.05818412192</v>
      </c>
      <c r="G10" s="2">
        <f>MAX(C33:C62)</f>
        <v>13731.9456650623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5" spans="1:22">
      <c r="A11" s="1">
        <v>10</v>
      </c>
      <c r="B11" s="1" t="s">
        <v>22</v>
      </c>
      <c r="C11" s="1">
        <v>2010.68260552089</v>
      </c>
      <c r="D11" s="1">
        <v>355</v>
      </c>
      <c r="E11" s="7" t="s">
        <v>9</v>
      </c>
      <c r="F11" s="1">
        <f>MIN(C2:C31)</f>
        <v>91.7525954514229</v>
      </c>
      <c r="G11" s="2">
        <f>MIN(C33:C62)</f>
        <v>1279.43260226172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ht="16.5" spans="1:22">
      <c r="A12" s="1">
        <v>11</v>
      </c>
      <c r="B12" s="1" t="s">
        <v>23</v>
      </c>
      <c r="C12" s="1">
        <v>382.722228118862</v>
      </c>
      <c r="D12" s="1">
        <v>357</v>
      </c>
      <c r="E12" s="5" t="s">
        <v>11</v>
      </c>
      <c r="F12" s="1">
        <f>MEDIAN(C2:C31)</f>
        <v>1456.02884089861</v>
      </c>
      <c r="G12" s="2">
        <f>MEDIAN(C33:C62)</f>
        <v>4166.57519838099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ht="16.5" spans="1:22">
      <c r="A13" s="1">
        <v>12</v>
      </c>
      <c r="B13" s="1" t="s">
        <v>24</v>
      </c>
      <c r="C13" s="1">
        <v>3617.00680980156</v>
      </c>
      <c r="D13" s="1">
        <v>360</v>
      </c>
      <c r="E13" s="5" t="s">
        <v>13</v>
      </c>
      <c r="F13" s="1">
        <f>AVERAGE(C2:C31)</f>
        <v>1908.09216012514</v>
      </c>
      <c r="G13" s="2">
        <f>AVERAGE(C33:C62)</f>
        <v>4496.26408798812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ht="16.5" spans="1:22">
      <c r="A14" s="1">
        <v>13</v>
      </c>
      <c r="B14" s="1" t="s">
        <v>25</v>
      </c>
      <c r="C14" s="1">
        <v>1174.32862144356</v>
      </c>
      <c r="D14" s="1">
        <v>346</v>
      </c>
      <c r="E14" s="5" t="s">
        <v>15</v>
      </c>
      <c r="F14" s="1">
        <f>QUARTILE(C2:C31,1)</f>
        <v>1128.42276669737</v>
      </c>
      <c r="G14" s="2">
        <f>QUARTILE(C33:C62,1)</f>
        <v>2767.04316417248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ht="16.5" spans="1:22">
      <c r="A15" s="1">
        <v>14</v>
      </c>
      <c r="B15" s="1" t="s">
        <v>26</v>
      </c>
      <c r="C15" s="1">
        <v>2492.24458237783</v>
      </c>
      <c r="D15" s="1">
        <v>385</v>
      </c>
      <c r="E15" s="5" t="s">
        <v>17</v>
      </c>
      <c r="F15" s="1">
        <f>QUARTILE(C2:C31,3)</f>
        <v>2967.72418140843</v>
      </c>
      <c r="G15" s="2">
        <f>QUARTILE(C33:C62,3)</f>
        <v>5655.16730706653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>
      <c r="A16" s="1">
        <v>15</v>
      </c>
      <c r="B16" s="1" t="s">
        <v>27</v>
      </c>
      <c r="C16" s="1">
        <v>1158.34868061374</v>
      </c>
      <c r="D16" s="1">
        <v>373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>
      <c r="A17" s="1">
        <v>16</v>
      </c>
      <c r="B17" s="1" t="s">
        <v>28</v>
      </c>
      <c r="C17" s="1">
        <v>1571.62383145936</v>
      </c>
      <c r="D17" s="1">
        <v>343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>
      <c r="A18" s="1">
        <v>17</v>
      </c>
      <c r="B18" s="1" t="s">
        <v>29</v>
      </c>
      <c r="C18" s="1">
        <v>3070.12768201884</v>
      </c>
      <c r="D18" s="1">
        <v>362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>
      <c r="A19" s="1">
        <v>18</v>
      </c>
      <c r="B19" s="1" t="s">
        <v>30</v>
      </c>
      <c r="C19" s="1">
        <v>3204.41523803595</v>
      </c>
      <c r="D19" s="1">
        <v>382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>
      <c r="A20" s="1">
        <v>19</v>
      </c>
      <c r="B20" s="1" t="s">
        <v>31</v>
      </c>
      <c r="C20" s="1">
        <v>2431.55349561505</v>
      </c>
      <c r="D20" s="1">
        <v>372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>
      <c r="A21" s="1">
        <v>20</v>
      </c>
      <c r="B21" s="1" t="s">
        <v>32</v>
      </c>
      <c r="C21" s="1">
        <v>4077.11770538915</v>
      </c>
      <c r="D21" s="1">
        <v>378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>
      <c r="A22" s="1">
        <v>21</v>
      </c>
      <c r="B22" s="1" t="s">
        <v>33</v>
      </c>
      <c r="C22" s="1">
        <v>1315.7673906277</v>
      </c>
      <c r="D22" s="1">
        <v>334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>
      <c r="A23" s="1">
        <v>22</v>
      </c>
      <c r="B23" s="1" t="s">
        <v>34</v>
      </c>
      <c r="C23" s="1">
        <v>2660.51367957721</v>
      </c>
      <c r="D23" s="1">
        <v>303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>
      <c r="A24" s="1">
        <v>23</v>
      </c>
      <c r="B24" s="1" t="s">
        <v>35</v>
      </c>
      <c r="C24" s="1">
        <v>1409.99114738583</v>
      </c>
      <c r="D24" s="1">
        <v>346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>
      <c r="A25" s="1">
        <v>24</v>
      </c>
      <c r="B25" s="1" t="s">
        <v>36</v>
      </c>
      <c r="C25" s="1">
        <v>1326.53192407194</v>
      </c>
      <c r="D25" s="1">
        <v>390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>
      <c r="A26" s="1">
        <v>25</v>
      </c>
      <c r="B26" s="1" t="s">
        <v>37</v>
      </c>
      <c r="C26" s="1">
        <v>3202.34518108846</v>
      </c>
      <c r="D26" s="1">
        <v>385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>
      <c r="A27" s="1">
        <v>26</v>
      </c>
      <c r="B27" s="1" t="s">
        <v>38</v>
      </c>
      <c r="C27" s="1">
        <v>1420.86730035587</v>
      </c>
      <c r="D27" s="1">
        <v>341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>
      <c r="A28" s="1">
        <v>27</v>
      </c>
      <c r="B28" s="1" t="s">
        <v>39</v>
      </c>
      <c r="C28" s="1">
        <v>972.755221445283</v>
      </c>
      <c r="D28" s="1">
        <v>380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>
      <c r="A29" s="1">
        <v>28</v>
      </c>
      <c r="B29" s="1" t="s">
        <v>40</v>
      </c>
      <c r="C29" s="1">
        <v>2307.27463292926</v>
      </c>
      <c r="D29" s="1">
        <v>376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>
      <c r="A30" s="1">
        <v>29</v>
      </c>
      <c r="B30" s="1" t="s">
        <v>41</v>
      </c>
      <c r="C30" s="1">
        <v>91.7525954514229</v>
      </c>
      <c r="D30" s="1">
        <v>372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>
      <c r="A31" s="1">
        <v>30</v>
      </c>
      <c r="B31" s="1" t="s">
        <v>42</v>
      </c>
      <c r="C31" s="1">
        <v>1220.02153259228</v>
      </c>
      <c r="D31" s="1">
        <v>391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2:22">
      <c r="B32" s="3" t="s">
        <v>43</v>
      </c>
      <c r="C32" s="3" t="s">
        <v>44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>
      <c r="A33" s="1">
        <v>1</v>
      </c>
      <c r="B33" s="1" t="s">
        <v>45</v>
      </c>
      <c r="C33" s="1">
        <v>13731.9456650623</v>
      </c>
      <c r="D33" s="1">
        <v>287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>
      <c r="A34" s="1">
        <v>2</v>
      </c>
      <c r="B34" s="1" t="s">
        <v>46</v>
      </c>
      <c r="C34" s="1">
        <v>5160.01970706766</v>
      </c>
      <c r="D34" s="1">
        <v>351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>
      <c r="A35" s="1">
        <v>3</v>
      </c>
      <c r="B35" s="1" t="s">
        <v>47</v>
      </c>
      <c r="C35" s="1">
        <v>3061.02572412769</v>
      </c>
      <c r="D35" s="1">
        <v>356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>
      <c r="A36" s="1">
        <v>4</v>
      </c>
      <c r="B36" s="1" t="s">
        <v>48</v>
      </c>
      <c r="C36" s="1">
        <v>7049.37606273765</v>
      </c>
      <c r="D36" s="1">
        <v>356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>
      <c r="A37" s="1">
        <v>5</v>
      </c>
      <c r="B37" s="1" t="s">
        <v>49</v>
      </c>
      <c r="C37" s="1">
        <v>2707.8001181722</v>
      </c>
      <c r="D37" s="1">
        <v>356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>
      <c r="A38" s="1">
        <v>6</v>
      </c>
      <c r="B38" s="1" t="s">
        <v>50</v>
      </c>
      <c r="C38" s="1">
        <v>2669.23300944011</v>
      </c>
      <c r="D38" s="1">
        <v>346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>
      <c r="A39" s="1">
        <v>7</v>
      </c>
      <c r="B39" s="1" t="s">
        <v>51</v>
      </c>
      <c r="C39" s="1">
        <v>4169.75944470291</v>
      </c>
      <c r="D39" s="1">
        <v>354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>
      <c r="A40" s="1">
        <v>8</v>
      </c>
      <c r="B40" s="1" t="s">
        <v>52</v>
      </c>
      <c r="C40" s="1">
        <v>5606.50851887074</v>
      </c>
      <c r="D40" s="1">
        <v>361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>
      <c r="A41" s="1">
        <v>9</v>
      </c>
      <c r="B41" s="1" t="s">
        <v>53</v>
      </c>
      <c r="C41" s="1">
        <v>1279.43260226172</v>
      </c>
      <c r="D41" s="1">
        <v>365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>
      <c r="A42" s="1">
        <v>10</v>
      </c>
      <c r="B42" s="1" t="s">
        <v>54</v>
      </c>
      <c r="C42" s="1">
        <v>3500.88031682464</v>
      </c>
      <c r="D42" s="1">
        <v>357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>
      <c r="A43" s="1">
        <v>11</v>
      </c>
      <c r="B43" s="1" t="s">
        <v>55</v>
      </c>
      <c r="C43" s="1">
        <v>1518.40503302108</v>
      </c>
      <c r="D43" s="1">
        <v>331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>
      <c r="A44" s="1">
        <v>12</v>
      </c>
      <c r="B44" s="1" t="s">
        <v>56</v>
      </c>
      <c r="C44" s="1">
        <v>6616.18760732415</v>
      </c>
      <c r="D44" s="1">
        <v>325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>
      <c r="A45" s="1">
        <v>13</v>
      </c>
      <c r="B45" s="1" t="s">
        <v>57</v>
      </c>
      <c r="C45" s="1">
        <v>5697.65401740703</v>
      </c>
      <c r="D45" s="1">
        <v>345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>
      <c r="A46" s="1">
        <v>14</v>
      </c>
      <c r="B46" s="1" t="s">
        <v>58</v>
      </c>
      <c r="C46" s="1">
        <v>4163.39095205907</v>
      </c>
      <c r="D46" s="1">
        <v>369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>
      <c r="A47" s="1">
        <v>15</v>
      </c>
      <c r="B47" s="1" t="s">
        <v>59</v>
      </c>
      <c r="C47" s="1">
        <v>6439.77566446916</v>
      </c>
      <c r="D47" s="1">
        <v>354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>
      <c r="A48" s="1">
        <v>16</v>
      </c>
      <c r="B48" s="1" t="s">
        <v>60</v>
      </c>
      <c r="C48" s="1">
        <v>2944.77230217333</v>
      </c>
      <c r="D48" s="1">
        <v>328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>
      <c r="A49" s="1">
        <v>17</v>
      </c>
      <c r="B49" s="1" t="s">
        <v>61</v>
      </c>
      <c r="C49" s="1">
        <v>3130.28546565408</v>
      </c>
      <c r="D49" s="1">
        <v>361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>
      <c r="A50" s="1">
        <v>18</v>
      </c>
      <c r="B50" s="1" t="s">
        <v>62</v>
      </c>
      <c r="C50" s="1">
        <v>5671.38690313179</v>
      </c>
      <c r="D50" s="1">
        <v>369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>
      <c r="A51" s="1">
        <v>19</v>
      </c>
      <c r="B51" s="1" t="s">
        <v>63</v>
      </c>
      <c r="C51" s="1">
        <v>2240.5704961979</v>
      </c>
      <c r="D51" s="1">
        <v>379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4">
      <c r="A52" s="1">
        <v>20</v>
      </c>
      <c r="B52" s="1" t="s">
        <v>64</v>
      </c>
      <c r="C52" s="1">
        <v>5008.8957320402</v>
      </c>
      <c r="D52" s="1">
        <v>370</v>
      </c>
    </row>
    <row r="53" spans="1:4">
      <c r="A53" s="1">
        <v>21</v>
      </c>
      <c r="B53" s="1" t="s">
        <v>65</v>
      </c>
      <c r="C53" s="1">
        <v>6768.48634051207</v>
      </c>
      <c r="D53" s="1">
        <v>333</v>
      </c>
    </row>
    <row r="54" spans="1:4">
      <c r="A54" s="1">
        <v>22</v>
      </c>
      <c r="B54" s="1" t="s">
        <v>66</v>
      </c>
      <c r="C54" s="1">
        <v>1344.10310117128</v>
      </c>
      <c r="D54" s="1">
        <v>377</v>
      </c>
    </row>
    <row r="55" spans="1:4">
      <c r="A55" s="1">
        <v>23</v>
      </c>
      <c r="B55" s="1" t="s">
        <v>67</v>
      </c>
      <c r="C55" s="1">
        <v>2229.76642203683</v>
      </c>
      <c r="D55" s="1">
        <v>367</v>
      </c>
    </row>
    <row r="56" spans="1:4">
      <c r="A56" s="1">
        <v>24</v>
      </c>
      <c r="B56" s="1" t="s">
        <v>68</v>
      </c>
      <c r="C56" s="1">
        <v>4338.8132052942</v>
      </c>
      <c r="D56" s="1">
        <v>356</v>
      </c>
    </row>
    <row r="57" spans="1:4">
      <c r="A57" s="1">
        <v>25</v>
      </c>
      <c r="B57" s="1" t="s">
        <v>69</v>
      </c>
      <c r="C57" s="1">
        <v>5229.66933526723</v>
      </c>
      <c r="D57" s="1">
        <v>360</v>
      </c>
    </row>
    <row r="58" spans="1:4">
      <c r="A58" s="1">
        <v>26</v>
      </c>
      <c r="B58" s="1" t="s">
        <v>70</v>
      </c>
      <c r="C58" s="1">
        <v>8291.38294459025</v>
      </c>
      <c r="D58" s="1">
        <v>292</v>
      </c>
    </row>
    <row r="59" spans="1:4">
      <c r="A59" s="1">
        <v>27</v>
      </c>
      <c r="B59" s="1" t="s">
        <v>71</v>
      </c>
      <c r="C59" s="1">
        <v>3234.89804567131</v>
      </c>
      <c r="D59" s="1">
        <v>361</v>
      </c>
    </row>
    <row r="60" spans="1:4">
      <c r="A60" s="1">
        <v>28</v>
      </c>
      <c r="B60" s="1" t="s">
        <v>72</v>
      </c>
      <c r="C60" s="1">
        <v>3826.02368220778</v>
      </c>
      <c r="D60" s="1">
        <v>362</v>
      </c>
    </row>
    <row r="61" spans="1:4">
      <c r="A61" s="1">
        <v>29</v>
      </c>
      <c r="B61" s="1" t="s">
        <v>73</v>
      </c>
      <c r="C61" s="1">
        <v>2521.35601662818</v>
      </c>
      <c r="D61" s="1">
        <v>368</v>
      </c>
    </row>
    <row r="62" spans="1:4">
      <c r="A62" s="1">
        <v>30</v>
      </c>
      <c r="B62" s="1" t="s">
        <v>74</v>
      </c>
      <c r="C62" s="1">
        <v>4736.11820351917</v>
      </c>
      <c r="D62" s="1">
        <v>352</v>
      </c>
    </row>
    <row r="66" spans="3:9">
      <c r="C66" s="8"/>
      <c r="D66" s="8"/>
      <c r="E66" s="8"/>
      <c r="F66" s="8"/>
      <c r="G66" s="8"/>
      <c r="H66" s="8"/>
      <c r="I66" s="8"/>
    </row>
    <row r="67" spans="3:9">
      <c r="C67" s="8"/>
      <c r="D67" s="8"/>
      <c r="E67" s="8"/>
      <c r="F67" s="8"/>
      <c r="G67" s="8"/>
      <c r="H67" s="8"/>
      <c r="I67" s="8"/>
    </row>
    <row r="68" spans="3:9">
      <c r="C68" s="8"/>
      <c r="D68" s="8"/>
      <c r="E68" s="8"/>
      <c r="F68" s="8"/>
      <c r="G68" s="8"/>
      <c r="H68" s="8"/>
      <c r="I68" s="8"/>
    </row>
    <row r="69" spans="3:9">
      <c r="C69" s="8"/>
      <c r="D69" s="8"/>
      <c r="E69" s="8"/>
      <c r="F69" s="8"/>
      <c r="G69" s="8"/>
      <c r="H69" s="8"/>
      <c r="I69" s="8"/>
    </row>
    <row r="70" spans="3:9">
      <c r="C70" s="8"/>
      <c r="D70" s="8"/>
      <c r="E70" s="8"/>
      <c r="F70" s="8"/>
      <c r="G70" s="8"/>
      <c r="H70" s="8"/>
      <c r="I70" s="8"/>
    </row>
    <row r="71" spans="3:21">
      <c r="C71" s="8"/>
      <c r="D71" s="8"/>
      <c r="E71" s="8"/>
      <c r="F71" s="8"/>
      <c r="G71" s="8" t="s">
        <v>75</v>
      </c>
      <c r="H71" s="8" t="s">
        <v>76</v>
      </c>
      <c r="I71" s="8"/>
      <c r="J71" s="8" t="s">
        <v>77</v>
      </c>
      <c r="K71" s="8"/>
      <c r="L71" s="8" t="s">
        <v>78</v>
      </c>
      <c r="M71" s="8"/>
      <c r="N71" s="8" t="s">
        <v>79</v>
      </c>
      <c r="O71" s="8"/>
      <c r="P71" s="8" t="s">
        <v>80</v>
      </c>
      <c r="Q71" s="8"/>
      <c r="R71" s="8" t="s">
        <v>81</v>
      </c>
      <c r="S71" s="8"/>
      <c r="T71" s="8" t="s">
        <v>82</v>
      </c>
      <c r="U71" s="8"/>
    </row>
    <row r="72" spans="3:21">
      <c r="C72" s="8"/>
      <c r="D72" s="8"/>
      <c r="E72" s="8"/>
      <c r="F72" s="8"/>
      <c r="G72" s="8"/>
      <c r="H72" s="8" t="s">
        <v>5</v>
      </c>
      <c r="I72" s="8" t="s">
        <v>83</v>
      </c>
      <c r="J72" s="8" t="s">
        <v>5</v>
      </c>
      <c r="K72" s="8" t="s">
        <v>83</v>
      </c>
      <c r="L72" s="8" t="s">
        <v>5</v>
      </c>
      <c r="M72" s="8" t="s">
        <v>83</v>
      </c>
      <c r="N72" s="8" t="s">
        <v>5</v>
      </c>
      <c r="O72" s="8" t="s">
        <v>83</v>
      </c>
      <c r="P72" s="8" t="s">
        <v>5</v>
      </c>
      <c r="Q72" s="8" t="s">
        <v>83</v>
      </c>
      <c r="R72" s="8" t="s">
        <v>5</v>
      </c>
      <c r="S72" s="8" t="s">
        <v>83</v>
      </c>
      <c r="T72" s="8" t="s">
        <v>5</v>
      </c>
      <c r="U72" s="8" t="s">
        <v>83</v>
      </c>
    </row>
    <row r="73" spans="3:21">
      <c r="C73" s="8"/>
      <c r="D73" s="8"/>
      <c r="E73" s="8"/>
      <c r="F73" s="8"/>
      <c r="G73" s="8">
        <v>1</v>
      </c>
      <c r="H73" s="8">
        <v>15.5</v>
      </c>
      <c r="I73" s="8">
        <v>15.5</v>
      </c>
      <c r="J73" s="8">
        <v>3.13</v>
      </c>
      <c r="K73" s="8">
        <v>3.13</v>
      </c>
      <c r="L73" s="8">
        <v>0.96</v>
      </c>
      <c r="M73" s="8">
        <v>0.96</v>
      </c>
      <c r="N73" s="8">
        <v>48.8</v>
      </c>
      <c r="O73" s="8">
        <v>48.8</v>
      </c>
      <c r="P73" s="8">
        <v>1.89</v>
      </c>
      <c r="Q73" s="8">
        <v>1.89</v>
      </c>
      <c r="R73" s="8">
        <v>1</v>
      </c>
      <c r="S73" s="8">
        <v>1</v>
      </c>
      <c r="T73" s="8">
        <v>26.7</v>
      </c>
      <c r="U73" s="8">
        <v>26.7</v>
      </c>
    </row>
    <row r="74" spans="3:21">
      <c r="C74" s="8"/>
      <c r="D74" s="8"/>
      <c r="E74" s="8"/>
      <c r="F74" s="8"/>
      <c r="G74" s="8">
        <v>2</v>
      </c>
      <c r="H74" s="8">
        <v>12.9</v>
      </c>
      <c r="I74" s="8">
        <v>12.9</v>
      </c>
      <c r="J74" s="8">
        <v>2.81</v>
      </c>
      <c r="K74" s="8">
        <v>2.81</v>
      </c>
      <c r="L74" s="8">
        <v>0.07</v>
      </c>
      <c r="M74" s="8">
        <v>0.07</v>
      </c>
      <c r="N74" s="8">
        <v>41.3</v>
      </c>
      <c r="O74" s="8">
        <v>41.3</v>
      </c>
      <c r="P74" s="8">
        <v>1.96</v>
      </c>
      <c r="Q74" s="8">
        <v>1.96</v>
      </c>
      <c r="R74" s="8">
        <v>1</v>
      </c>
      <c r="S74" s="8">
        <v>1</v>
      </c>
      <c r="T74" s="8">
        <v>130</v>
      </c>
      <c r="U74" s="8">
        <v>130</v>
      </c>
    </row>
    <row r="75" spans="3:21">
      <c r="C75" s="8"/>
      <c r="D75" s="8"/>
      <c r="E75" s="8"/>
      <c r="F75" s="8"/>
      <c r="G75" s="8">
        <v>3</v>
      </c>
      <c r="H75" s="8">
        <v>1.3</v>
      </c>
      <c r="I75" s="8">
        <v>1.3</v>
      </c>
      <c r="J75" s="8">
        <v>2.06</v>
      </c>
      <c r="K75" s="8">
        <v>2.06</v>
      </c>
      <c r="L75" s="8">
        <v>0.63</v>
      </c>
      <c r="M75" s="8">
        <v>0.63</v>
      </c>
      <c r="N75" s="8">
        <v>37.4</v>
      </c>
      <c r="O75" s="8">
        <v>37.4</v>
      </c>
      <c r="P75" s="8">
        <v>1.31</v>
      </c>
      <c r="Q75" s="8">
        <v>1.31</v>
      </c>
      <c r="R75" s="8">
        <v>0</v>
      </c>
      <c r="S75" s="8">
        <v>0</v>
      </c>
      <c r="T75" s="8">
        <v>227</v>
      </c>
      <c r="U75" s="8">
        <v>227</v>
      </c>
    </row>
    <row r="76" spans="3:21">
      <c r="C76" s="8"/>
      <c r="D76" s="8"/>
      <c r="E76" s="8"/>
      <c r="F76" s="8"/>
      <c r="G76" s="8">
        <v>4</v>
      </c>
      <c r="H76" s="8">
        <v>0.5</v>
      </c>
      <c r="I76" s="8">
        <v>0.5</v>
      </c>
      <c r="J76" s="8">
        <v>3.97</v>
      </c>
      <c r="K76" s="8">
        <v>3.97</v>
      </c>
      <c r="L76" s="8">
        <v>0.1</v>
      </c>
      <c r="M76" s="8">
        <v>0.1</v>
      </c>
      <c r="N76" s="8">
        <v>45.6</v>
      </c>
      <c r="O76" s="8">
        <v>45.6</v>
      </c>
      <c r="P76" s="8">
        <v>1.23</v>
      </c>
      <c r="Q76" s="8">
        <v>1.23</v>
      </c>
      <c r="R76" s="8">
        <v>0</v>
      </c>
      <c r="S76" s="8">
        <v>0</v>
      </c>
      <c r="T76" s="8">
        <v>7.59</v>
      </c>
      <c r="U76" s="8">
        <v>7.59</v>
      </c>
    </row>
    <row r="77" spans="3:21">
      <c r="C77" s="8"/>
      <c r="D77" s="8"/>
      <c r="E77" s="8"/>
      <c r="F77" s="8"/>
      <c r="G77" s="8">
        <v>5</v>
      </c>
      <c r="H77" s="8">
        <v>10.7</v>
      </c>
      <c r="I77" s="8">
        <v>10.7</v>
      </c>
      <c r="J77" s="8">
        <v>4.17</v>
      </c>
      <c r="K77" s="8">
        <v>4.17</v>
      </c>
      <c r="L77" s="8">
        <v>0.13</v>
      </c>
      <c r="M77" s="8">
        <v>0.13</v>
      </c>
      <c r="N77" s="8">
        <v>33.9</v>
      </c>
      <c r="O77" s="8">
        <v>33.9</v>
      </c>
      <c r="P77" s="8">
        <v>1.86</v>
      </c>
      <c r="Q77" s="8">
        <v>1.86</v>
      </c>
      <c r="R77" s="8">
        <v>1</v>
      </c>
      <c r="S77" s="8">
        <v>1</v>
      </c>
      <c r="T77" s="8">
        <v>1.1</v>
      </c>
      <c r="U77" s="8">
        <v>1.1</v>
      </c>
    </row>
    <row r="78" spans="3:21">
      <c r="C78" s="8"/>
      <c r="D78" s="8"/>
      <c r="E78" s="8"/>
      <c r="F78" s="8"/>
      <c r="G78" s="8">
        <v>6</v>
      </c>
      <c r="H78" s="8">
        <v>18.7</v>
      </c>
      <c r="I78" s="8">
        <v>18.7</v>
      </c>
      <c r="J78" s="8">
        <v>4.81</v>
      </c>
      <c r="K78" s="8">
        <v>4.81</v>
      </c>
      <c r="L78" s="8">
        <v>0.86</v>
      </c>
      <c r="M78" s="8">
        <v>0.86</v>
      </c>
      <c r="N78" s="8">
        <v>36.7</v>
      </c>
      <c r="O78" s="8">
        <v>36.7</v>
      </c>
      <c r="P78" s="8">
        <v>1.18</v>
      </c>
      <c r="Q78" s="8">
        <v>1.18</v>
      </c>
      <c r="R78" s="8">
        <v>1</v>
      </c>
      <c r="S78" s="8">
        <v>1</v>
      </c>
      <c r="T78" s="8">
        <v>0.39</v>
      </c>
      <c r="U78" s="8">
        <v>0.39</v>
      </c>
    </row>
    <row r="79" spans="3:21">
      <c r="C79" s="8"/>
      <c r="D79" s="8"/>
      <c r="E79" s="8"/>
      <c r="F79" s="8"/>
      <c r="G79" s="8">
        <v>7</v>
      </c>
      <c r="H79" s="8">
        <v>17.9</v>
      </c>
      <c r="I79" s="8">
        <v>17.9</v>
      </c>
      <c r="J79" s="8">
        <v>3.85</v>
      </c>
      <c r="K79" s="8">
        <v>3.85</v>
      </c>
      <c r="L79" s="8">
        <v>0.65</v>
      </c>
      <c r="M79" s="8">
        <v>0.65</v>
      </c>
      <c r="N79" s="8">
        <v>47</v>
      </c>
      <c r="O79" s="8">
        <v>47</v>
      </c>
      <c r="P79" s="8">
        <v>1.49</v>
      </c>
      <c r="Q79" s="8">
        <v>1.49</v>
      </c>
      <c r="R79" s="8">
        <v>1</v>
      </c>
      <c r="S79" s="8">
        <v>1</v>
      </c>
      <c r="T79" s="8">
        <v>4.59</v>
      </c>
      <c r="U79" s="8">
        <v>4.59</v>
      </c>
    </row>
    <row r="80" spans="3:21">
      <c r="C80" s="8"/>
      <c r="D80" s="8"/>
      <c r="E80" s="8"/>
      <c r="F80" s="8"/>
      <c r="G80" s="8">
        <v>8</v>
      </c>
      <c r="H80" s="8">
        <v>2.6</v>
      </c>
      <c r="I80" s="8">
        <v>2.6</v>
      </c>
      <c r="J80" s="8">
        <v>2.39</v>
      </c>
      <c r="K80" s="8">
        <v>2.39</v>
      </c>
      <c r="L80" s="8">
        <v>0.83</v>
      </c>
      <c r="M80" s="8">
        <v>0.83</v>
      </c>
      <c r="N80" s="8">
        <v>45.5</v>
      </c>
      <c r="O80" s="8">
        <v>45.5</v>
      </c>
      <c r="P80" s="8">
        <v>1.53</v>
      </c>
      <c r="Q80" s="8">
        <v>1.53</v>
      </c>
      <c r="R80" s="8">
        <v>0</v>
      </c>
      <c r="S80" s="8">
        <v>0</v>
      </c>
      <c r="T80" s="8">
        <v>146</v>
      </c>
      <c r="U80" s="8">
        <v>146</v>
      </c>
    </row>
    <row r="81" spans="3:21">
      <c r="C81" s="8"/>
      <c r="D81" s="8"/>
      <c r="E81" s="8"/>
      <c r="F81" s="8"/>
      <c r="G81" s="8">
        <v>9</v>
      </c>
      <c r="H81" s="8">
        <v>2</v>
      </c>
      <c r="I81" s="8">
        <v>2</v>
      </c>
      <c r="J81" s="8">
        <v>4.69</v>
      </c>
      <c r="K81" s="8">
        <v>4.69</v>
      </c>
      <c r="L81" s="8">
        <v>0.67</v>
      </c>
      <c r="M81" s="8">
        <v>0.67</v>
      </c>
      <c r="N81" s="8">
        <v>32.9</v>
      </c>
      <c r="O81" s="8">
        <v>32.9</v>
      </c>
      <c r="P81" s="8">
        <v>1.15</v>
      </c>
      <c r="Q81" s="8">
        <v>1.15</v>
      </c>
      <c r="R81" s="8">
        <v>0</v>
      </c>
      <c r="S81" s="8">
        <v>0</v>
      </c>
      <c r="T81" s="8">
        <v>5.65</v>
      </c>
      <c r="U81" s="8">
        <v>5.65</v>
      </c>
    </row>
    <row r="82" spans="3:21">
      <c r="C82" s="8"/>
      <c r="D82" s="8"/>
      <c r="E82" s="8"/>
      <c r="F82" s="8"/>
      <c r="G82" s="8">
        <v>10</v>
      </c>
      <c r="H82" s="8">
        <v>11.1</v>
      </c>
      <c r="I82" s="8">
        <v>11.1</v>
      </c>
      <c r="J82" s="8">
        <v>4.97</v>
      </c>
      <c r="K82" s="8">
        <v>4.97</v>
      </c>
      <c r="L82" s="8">
        <v>0.14</v>
      </c>
      <c r="M82" s="8">
        <v>0.14</v>
      </c>
      <c r="N82" s="8">
        <v>44.2</v>
      </c>
      <c r="O82" s="8">
        <v>44.2</v>
      </c>
      <c r="P82" s="8">
        <v>1.92</v>
      </c>
      <c r="Q82" s="8">
        <v>1.92</v>
      </c>
      <c r="R82" s="8">
        <v>1</v>
      </c>
      <c r="S82" s="8">
        <v>1</v>
      </c>
      <c r="T82" s="8">
        <v>0.64</v>
      </c>
      <c r="U82" s="8">
        <v>0.64</v>
      </c>
    </row>
    <row r="83" spans="3:21">
      <c r="C83" s="8"/>
      <c r="D83" s="8"/>
      <c r="E83" s="8"/>
      <c r="F83" s="8"/>
      <c r="G83" s="8">
        <v>11</v>
      </c>
      <c r="H83" s="8">
        <v>18</v>
      </c>
      <c r="I83" s="8">
        <v>18</v>
      </c>
      <c r="J83" s="8">
        <v>3.99</v>
      </c>
      <c r="K83" s="8">
        <v>3.99</v>
      </c>
      <c r="L83" s="8">
        <v>0.82</v>
      </c>
      <c r="M83" s="8">
        <v>0.82</v>
      </c>
      <c r="N83" s="8">
        <v>40.6</v>
      </c>
      <c r="O83" s="8">
        <v>40.6</v>
      </c>
      <c r="P83" s="8">
        <v>1.98</v>
      </c>
      <c r="Q83" s="8">
        <v>1.98</v>
      </c>
      <c r="R83" s="8">
        <v>1</v>
      </c>
      <c r="S83" s="8">
        <v>1</v>
      </c>
      <c r="T83" s="8">
        <v>7.19</v>
      </c>
      <c r="U83" s="8">
        <v>7.19</v>
      </c>
    </row>
    <row r="84" spans="3:21">
      <c r="C84" s="8"/>
      <c r="D84" s="8"/>
      <c r="E84" s="8"/>
      <c r="F84" s="8"/>
      <c r="G84" s="8">
        <v>12</v>
      </c>
      <c r="H84" s="8">
        <v>2</v>
      </c>
      <c r="I84" s="8">
        <v>2</v>
      </c>
      <c r="J84" s="8">
        <v>2.96</v>
      </c>
      <c r="K84" s="8">
        <v>2.96</v>
      </c>
      <c r="L84" s="8">
        <v>0.24</v>
      </c>
      <c r="M84" s="8">
        <v>0.24</v>
      </c>
      <c r="N84" s="8">
        <v>42.6</v>
      </c>
      <c r="O84" s="8">
        <v>42.6</v>
      </c>
      <c r="P84" s="8">
        <v>1.33</v>
      </c>
      <c r="Q84" s="8">
        <v>1.33</v>
      </c>
      <c r="R84" s="8">
        <v>0</v>
      </c>
      <c r="S84" s="8">
        <v>0</v>
      </c>
      <c r="T84" s="8">
        <v>6.25</v>
      </c>
      <c r="U84" s="8">
        <v>6.25</v>
      </c>
    </row>
    <row r="85" spans="3:21">
      <c r="C85" s="8"/>
      <c r="D85" s="8"/>
      <c r="E85" s="8"/>
      <c r="F85" s="8"/>
      <c r="G85" s="8">
        <v>13</v>
      </c>
      <c r="H85" s="8">
        <v>17.3</v>
      </c>
      <c r="I85" s="8">
        <v>17.3</v>
      </c>
      <c r="J85" s="8">
        <v>4.63</v>
      </c>
      <c r="K85" s="8">
        <v>4.63</v>
      </c>
      <c r="L85" s="8">
        <v>0.91</v>
      </c>
      <c r="M85" s="8">
        <v>0.91</v>
      </c>
      <c r="N85" s="8">
        <v>43.3</v>
      </c>
      <c r="O85" s="8">
        <v>43.3</v>
      </c>
      <c r="P85" s="8">
        <v>1</v>
      </c>
      <c r="Q85" s="8">
        <v>1</v>
      </c>
      <c r="R85" s="8">
        <v>1</v>
      </c>
      <c r="S85" s="8">
        <v>1</v>
      </c>
      <c r="T85" s="8">
        <v>0.27</v>
      </c>
      <c r="U85" s="8">
        <v>0.27</v>
      </c>
    </row>
    <row r="86" spans="3:21">
      <c r="C86" s="8"/>
      <c r="D86" s="8"/>
      <c r="E86" s="8"/>
      <c r="F86" s="8"/>
      <c r="G86" s="8">
        <v>14</v>
      </c>
      <c r="H86" s="8">
        <v>11.2</v>
      </c>
      <c r="I86" s="8">
        <v>11.2</v>
      </c>
      <c r="J86" s="8">
        <v>3.71</v>
      </c>
      <c r="K86" s="8">
        <v>3.71</v>
      </c>
      <c r="L86" s="8">
        <v>0.32</v>
      </c>
      <c r="M86" s="8">
        <v>0.32</v>
      </c>
      <c r="N86" s="8">
        <v>33.5</v>
      </c>
      <c r="O86" s="8">
        <v>33.5</v>
      </c>
      <c r="P86" s="8">
        <v>1.72</v>
      </c>
      <c r="Q86" s="8">
        <v>1.72</v>
      </c>
      <c r="R86" s="8">
        <v>1</v>
      </c>
      <c r="S86" s="8">
        <v>1</v>
      </c>
      <c r="T86" s="8">
        <v>29</v>
      </c>
      <c r="U86" s="8">
        <v>29</v>
      </c>
    </row>
    <row r="87" spans="3:21">
      <c r="C87" s="8"/>
      <c r="D87" s="8"/>
      <c r="E87" s="8"/>
      <c r="F87" s="8"/>
      <c r="G87" s="8">
        <v>15</v>
      </c>
      <c r="H87" s="8">
        <v>8.1</v>
      </c>
      <c r="I87" s="8">
        <v>8.1</v>
      </c>
      <c r="J87" s="8">
        <v>3.75</v>
      </c>
      <c r="K87" s="8">
        <v>3.75</v>
      </c>
      <c r="L87" s="8">
        <v>0.5</v>
      </c>
      <c r="M87" s="8">
        <v>0.5</v>
      </c>
      <c r="N87" s="8">
        <v>35.8</v>
      </c>
      <c r="O87" s="8">
        <v>35.8</v>
      </c>
      <c r="P87" s="8">
        <v>1.69</v>
      </c>
      <c r="Q87" s="8">
        <v>1.69</v>
      </c>
      <c r="R87" s="8">
        <v>0</v>
      </c>
      <c r="S87" s="8">
        <v>0</v>
      </c>
      <c r="T87" s="8">
        <v>24.6</v>
      </c>
      <c r="U87" s="8">
        <v>24.6</v>
      </c>
    </row>
    <row r="88" spans="3:21">
      <c r="C88" s="8"/>
      <c r="D88" s="8"/>
      <c r="E88" s="8"/>
      <c r="F88" s="8"/>
      <c r="G88" s="8">
        <v>16</v>
      </c>
      <c r="H88" s="8">
        <v>15.6</v>
      </c>
      <c r="I88" s="8">
        <v>15.6</v>
      </c>
      <c r="J88" s="8">
        <v>2.5</v>
      </c>
      <c r="K88" s="8">
        <v>2.5</v>
      </c>
      <c r="L88" s="8">
        <v>0.23</v>
      </c>
      <c r="M88" s="8">
        <v>0.23</v>
      </c>
      <c r="N88" s="8">
        <v>47.4</v>
      </c>
      <c r="O88" s="8">
        <v>47.4</v>
      </c>
      <c r="P88" s="8">
        <v>1.26</v>
      </c>
      <c r="Q88" s="8">
        <v>1.26</v>
      </c>
      <c r="R88" s="8">
        <v>1</v>
      </c>
      <c r="S88" s="8">
        <v>1</v>
      </c>
      <c r="T88" s="8">
        <v>77.6</v>
      </c>
      <c r="U88" s="8">
        <v>77.6</v>
      </c>
    </row>
    <row r="89" spans="3:21">
      <c r="C89" s="8"/>
      <c r="D89" s="8"/>
      <c r="E89" s="8"/>
      <c r="F89" s="8"/>
      <c r="G89" s="8">
        <v>17</v>
      </c>
      <c r="H89" s="8">
        <v>7.5</v>
      </c>
      <c r="I89" s="8">
        <v>7.5</v>
      </c>
      <c r="J89" s="8">
        <v>3.15</v>
      </c>
      <c r="K89" s="8">
        <v>3.15</v>
      </c>
      <c r="L89" s="8">
        <v>0.44</v>
      </c>
      <c r="M89" s="8">
        <v>0.44</v>
      </c>
      <c r="N89" s="8">
        <v>31.5</v>
      </c>
      <c r="O89" s="8">
        <v>31.5</v>
      </c>
      <c r="P89" s="8">
        <v>1.57</v>
      </c>
      <c r="Q89" s="8">
        <v>1.57</v>
      </c>
      <c r="R89" s="8">
        <v>0</v>
      </c>
      <c r="S89" s="8">
        <v>0</v>
      </c>
      <c r="T89" s="8">
        <v>73.3</v>
      </c>
      <c r="U89" s="8">
        <v>73.3</v>
      </c>
    </row>
    <row r="90" spans="3:21">
      <c r="C90" s="8"/>
      <c r="D90" s="8"/>
      <c r="E90" s="8"/>
      <c r="F90" s="8"/>
      <c r="G90" s="8">
        <v>18</v>
      </c>
      <c r="H90" s="8">
        <v>8.8</v>
      </c>
      <c r="I90" s="8">
        <v>8.8</v>
      </c>
      <c r="J90" s="8">
        <v>3.45</v>
      </c>
      <c r="K90" s="8">
        <v>3.45</v>
      </c>
      <c r="L90" s="8">
        <v>0.7</v>
      </c>
      <c r="M90" s="8">
        <v>0.7</v>
      </c>
      <c r="N90" s="8">
        <v>44.6</v>
      </c>
      <c r="O90" s="8">
        <v>44.6</v>
      </c>
      <c r="P90" s="8">
        <v>1.81</v>
      </c>
      <c r="Q90" s="8">
        <v>1.81</v>
      </c>
      <c r="R90" s="8">
        <v>0</v>
      </c>
      <c r="S90" s="8">
        <v>0</v>
      </c>
      <c r="T90" s="8">
        <v>25.9</v>
      </c>
      <c r="U90" s="8">
        <v>25.9</v>
      </c>
    </row>
    <row r="91" spans="3:21">
      <c r="C91" s="8"/>
      <c r="D91" s="8"/>
      <c r="E91" s="8"/>
      <c r="F91" s="8"/>
      <c r="G91" s="8">
        <v>19</v>
      </c>
      <c r="H91" s="8">
        <v>19</v>
      </c>
      <c r="I91" s="8">
        <v>19</v>
      </c>
      <c r="J91" s="8">
        <v>2.26</v>
      </c>
      <c r="K91" s="8">
        <v>2.26</v>
      </c>
      <c r="L91" s="8">
        <v>0.04</v>
      </c>
      <c r="M91" s="8">
        <v>0.04</v>
      </c>
      <c r="N91" s="8">
        <v>49.5</v>
      </c>
      <c r="O91" s="8">
        <v>49.5</v>
      </c>
      <c r="P91" s="8">
        <v>1.47</v>
      </c>
      <c r="Q91" s="8">
        <v>1.47</v>
      </c>
      <c r="R91" s="8">
        <v>1</v>
      </c>
      <c r="S91" s="8">
        <v>1</v>
      </c>
      <c r="T91" s="8">
        <v>159</v>
      </c>
      <c r="U91" s="8">
        <v>159</v>
      </c>
    </row>
    <row r="92" spans="3:21">
      <c r="C92" s="8"/>
      <c r="D92" s="8"/>
      <c r="E92" s="8"/>
      <c r="F92" s="8"/>
      <c r="G92" s="8">
        <v>20</v>
      </c>
      <c r="H92" s="8">
        <v>6.8</v>
      </c>
      <c r="I92" s="8">
        <v>6.8</v>
      </c>
      <c r="J92" s="8">
        <v>4.13</v>
      </c>
      <c r="K92" s="8">
        <v>4.13</v>
      </c>
      <c r="L92" s="8">
        <v>0.5</v>
      </c>
      <c r="M92" s="8">
        <v>0.5</v>
      </c>
      <c r="N92" s="8">
        <v>36.1</v>
      </c>
      <c r="O92" s="8">
        <v>36.1</v>
      </c>
      <c r="P92" s="8">
        <v>1.44</v>
      </c>
      <c r="Q92" s="8">
        <v>1.44</v>
      </c>
      <c r="R92" s="8">
        <v>0</v>
      </c>
      <c r="S92" s="8">
        <v>0</v>
      </c>
      <c r="T92" s="8">
        <v>11.8</v>
      </c>
      <c r="U92" s="8">
        <v>11.8</v>
      </c>
    </row>
    <row r="93" spans="3:21">
      <c r="C93" s="8"/>
      <c r="D93" s="8"/>
      <c r="E93" s="8"/>
      <c r="F93" s="8"/>
      <c r="G93" s="8">
        <v>21</v>
      </c>
      <c r="H93" s="8">
        <v>11.9</v>
      </c>
      <c r="I93" s="8">
        <v>11.9</v>
      </c>
      <c r="J93" s="8">
        <v>3.55</v>
      </c>
      <c r="K93" s="8">
        <v>3.55</v>
      </c>
      <c r="L93" s="8">
        <v>0.84</v>
      </c>
      <c r="M93" s="8">
        <v>0.84</v>
      </c>
      <c r="N93" s="8">
        <v>42</v>
      </c>
      <c r="O93" s="8">
        <v>42</v>
      </c>
      <c r="P93" s="8">
        <v>1.74</v>
      </c>
      <c r="Q93" s="8">
        <v>1.74</v>
      </c>
      <c r="R93" s="8">
        <v>1</v>
      </c>
      <c r="S93" s="8">
        <v>1</v>
      </c>
      <c r="T93" s="8">
        <v>17.3</v>
      </c>
      <c r="U93" s="8">
        <v>17.3</v>
      </c>
    </row>
    <row r="94" spans="3:21">
      <c r="C94" s="8"/>
      <c r="D94" s="8"/>
      <c r="E94" s="8"/>
      <c r="F94" s="8"/>
      <c r="G94" s="8">
        <v>22</v>
      </c>
      <c r="H94" s="8">
        <v>6.6</v>
      </c>
      <c r="I94" s="8">
        <v>6.6</v>
      </c>
      <c r="J94" s="8">
        <v>3.58</v>
      </c>
      <c r="K94" s="8">
        <v>3.58</v>
      </c>
      <c r="L94" s="8">
        <v>0.8</v>
      </c>
      <c r="M94" s="8">
        <v>0.8</v>
      </c>
      <c r="N94" s="8">
        <v>37.9</v>
      </c>
      <c r="O94" s="8">
        <v>37.9</v>
      </c>
      <c r="P94" s="8">
        <v>1.06</v>
      </c>
      <c r="Q94" s="8">
        <v>1.06</v>
      </c>
      <c r="R94" s="8">
        <v>0</v>
      </c>
      <c r="S94" s="8">
        <v>0</v>
      </c>
      <c r="T94" s="8">
        <v>19.4</v>
      </c>
      <c r="U94" s="8">
        <v>19.4</v>
      </c>
    </row>
    <row r="95" spans="3:21">
      <c r="C95" s="8"/>
      <c r="D95" s="8"/>
      <c r="E95" s="8"/>
      <c r="F95" s="8"/>
      <c r="G95" s="8">
        <v>23</v>
      </c>
      <c r="H95" s="8">
        <v>2.9</v>
      </c>
      <c r="I95" s="8">
        <v>2.9</v>
      </c>
      <c r="J95" s="8">
        <v>2.01</v>
      </c>
      <c r="K95" s="8">
        <v>2.01</v>
      </c>
      <c r="L95" s="8">
        <v>0.76</v>
      </c>
      <c r="M95" s="8">
        <v>0.76</v>
      </c>
      <c r="N95" s="8">
        <v>47.8</v>
      </c>
      <c r="O95" s="8">
        <v>47.8</v>
      </c>
      <c r="P95" s="8">
        <v>1.74</v>
      </c>
      <c r="Q95" s="8">
        <v>1.74</v>
      </c>
      <c r="R95" s="8">
        <v>0</v>
      </c>
      <c r="S95" s="8">
        <v>0</v>
      </c>
      <c r="T95" s="8">
        <v>306</v>
      </c>
      <c r="U95" s="8">
        <v>306</v>
      </c>
    </row>
    <row r="96" spans="3:21">
      <c r="C96" s="8"/>
      <c r="D96" s="8"/>
      <c r="E96" s="8"/>
      <c r="F96" s="8"/>
      <c r="G96" s="8">
        <v>24</v>
      </c>
      <c r="H96" s="8">
        <v>13.4</v>
      </c>
      <c r="I96" s="8">
        <v>13.4</v>
      </c>
      <c r="J96" s="8">
        <v>2.35</v>
      </c>
      <c r="K96" s="8">
        <v>2.35</v>
      </c>
      <c r="L96" s="8">
        <v>0.1</v>
      </c>
      <c r="M96" s="8">
        <v>0.1</v>
      </c>
      <c r="N96" s="8">
        <v>39.8</v>
      </c>
      <c r="O96" s="8">
        <v>39.8</v>
      </c>
      <c r="P96" s="8">
        <v>1.22</v>
      </c>
      <c r="Q96" s="8">
        <v>1.22</v>
      </c>
      <c r="R96" s="8">
        <v>1</v>
      </c>
      <c r="S96" s="8">
        <v>1</v>
      </c>
      <c r="T96" s="8">
        <v>139</v>
      </c>
      <c r="U96" s="8">
        <v>139</v>
      </c>
    </row>
    <row r="97" spans="3:21">
      <c r="C97" s="8"/>
      <c r="D97" s="8"/>
      <c r="E97" s="8"/>
      <c r="F97" s="8"/>
      <c r="G97" s="8">
        <v>25</v>
      </c>
      <c r="H97" s="8">
        <v>8.7</v>
      </c>
      <c r="I97" s="8">
        <v>8.7</v>
      </c>
      <c r="J97" s="8">
        <v>2.18</v>
      </c>
      <c r="K97" s="8">
        <v>2.18</v>
      </c>
      <c r="L97" s="8">
        <v>0.54</v>
      </c>
      <c r="M97" s="8">
        <v>0.54</v>
      </c>
      <c r="N97" s="8">
        <v>40.2</v>
      </c>
      <c r="O97" s="8">
        <v>40.2</v>
      </c>
      <c r="P97" s="8">
        <v>1.03</v>
      </c>
      <c r="Q97" s="8">
        <v>1.03</v>
      </c>
      <c r="R97" s="8">
        <v>0</v>
      </c>
      <c r="S97" s="8">
        <v>0</v>
      </c>
      <c r="T97" s="8">
        <v>147</v>
      </c>
      <c r="U97" s="8">
        <v>147</v>
      </c>
    </row>
    <row r="98" spans="3:21">
      <c r="C98" s="8"/>
      <c r="D98" s="8"/>
      <c r="E98" s="8"/>
      <c r="F98" s="8"/>
      <c r="G98" s="8">
        <v>26</v>
      </c>
      <c r="H98" s="8">
        <v>9.9</v>
      </c>
      <c r="I98" s="8">
        <v>9.9</v>
      </c>
      <c r="J98" s="8">
        <v>2.2</v>
      </c>
      <c r="K98" s="8">
        <v>2.2</v>
      </c>
      <c r="L98" s="8">
        <v>0.02</v>
      </c>
      <c r="M98" s="8">
        <v>0.02</v>
      </c>
      <c r="N98" s="8">
        <v>38.4</v>
      </c>
      <c r="O98" s="8">
        <v>38.4</v>
      </c>
      <c r="P98" s="8">
        <v>1.62</v>
      </c>
      <c r="Q98" s="8">
        <v>1.62</v>
      </c>
      <c r="R98" s="8">
        <v>0</v>
      </c>
      <c r="S98" s="8">
        <v>0</v>
      </c>
      <c r="T98" s="8">
        <v>262</v>
      </c>
      <c r="U98" s="8">
        <v>262</v>
      </c>
    </row>
    <row r="99" spans="3:21">
      <c r="C99" s="8"/>
      <c r="D99" s="8"/>
      <c r="E99" s="8"/>
      <c r="F99" s="8"/>
      <c r="G99" s="8">
        <v>27</v>
      </c>
      <c r="H99" s="8">
        <v>14.2</v>
      </c>
      <c r="I99" s="8">
        <v>14.2</v>
      </c>
      <c r="J99" s="8">
        <v>2.91</v>
      </c>
      <c r="K99" s="8">
        <v>2.91</v>
      </c>
      <c r="L99" s="8">
        <v>0.28</v>
      </c>
      <c r="M99" s="8">
        <v>0.28</v>
      </c>
      <c r="N99" s="8">
        <v>38.6</v>
      </c>
      <c r="O99" s="8">
        <v>38.6</v>
      </c>
      <c r="P99" s="8">
        <v>1.86</v>
      </c>
      <c r="Q99" s="8">
        <v>1.86</v>
      </c>
      <c r="R99" s="8">
        <v>1</v>
      </c>
      <c r="S99" s="8">
        <v>1</v>
      </c>
      <c r="T99" s="8">
        <v>87.5</v>
      </c>
      <c r="U99" s="8">
        <v>87.5</v>
      </c>
    </row>
    <row r="100" spans="3:21">
      <c r="C100" s="8"/>
      <c r="D100" s="8"/>
      <c r="E100" s="8"/>
      <c r="F100" s="8"/>
      <c r="G100" s="8">
        <v>28</v>
      </c>
      <c r="H100" s="8">
        <v>16.6</v>
      </c>
      <c r="I100" s="8">
        <v>16.6</v>
      </c>
      <c r="J100" s="8">
        <v>2.71</v>
      </c>
      <c r="K100" s="8">
        <v>2.71</v>
      </c>
      <c r="L100" s="8">
        <v>0.9</v>
      </c>
      <c r="M100" s="8">
        <v>0.9</v>
      </c>
      <c r="N100" s="8">
        <v>40.9</v>
      </c>
      <c r="O100" s="8">
        <v>40.9</v>
      </c>
      <c r="P100" s="8">
        <v>1.38</v>
      </c>
      <c r="Q100" s="8">
        <v>1.38</v>
      </c>
      <c r="R100" s="8">
        <v>1</v>
      </c>
      <c r="S100" s="8">
        <v>1</v>
      </c>
      <c r="T100" s="8">
        <v>50.5</v>
      </c>
      <c r="U100" s="8">
        <v>50.5</v>
      </c>
    </row>
    <row r="101" spans="3:21">
      <c r="C101" s="8"/>
      <c r="D101" s="8"/>
      <c r="E101" s="8"/>
      <c r="F101" s="8"/>
      <c r="G101" s="8">
        <v>29</v>
      </c>
      <c r="H101" s="8">
        <v>17.2</v>
      </c>
      <c r="I101" s="8">
        <v>17.2</v>
      </c>
      <c r="J101" s="8">
        <v>3.32</v>
      </c>
      <c r="K101" s="8">
        <v>3.32</v>
      </c>
      <c r="L101" s="8">
        <v>0.44</v>
      </c>
      <c r="M101" s="8">
        <v>0.44</v>
      </c>
      <c r="N101" s="8">
        <v>30.8</v>
      </c>
      <c r="O101" s="8">
        <v>30.8</v>
      </c>
      <c r="P101" s="8">
        <v>1.14</v>
      </c>
      <c r="Q101" s="8">
        <v>1.14</v>
      </c>
      <c r="R101" s="8">
        <v>1</v>
      </c>
      <c r="S101" s="8">
        <v>1</v>
      </c>
      <c r="T101" s="8">
        <v>33.6</v>
      </c>
      <c r="U101" s="8">
        <v>33.6</v>
      </c>
    </row>
    <row r="102" spans="3:21">
      <c r="C102" s="8"/>
      <c r="D102" s="8"/>
      <c r="E102" s="8"/>
      <c r="F102" s="8"/>
      <c r="G102" s="8">
        <v>30</v>
      </c>
      <c r="H102" s="8">
        <v>5.2</v>
      </c>
      <c r="I102" s="8">
        <v>5.2</v>
      </c>
      <c r="J102" s="8">
        <v>4.5</v>
      </c>
      <c r="K102" s="8">
        <v>4.5</v>
      </c>
      <c r="L102" s="8">
        <v>1</v>
      </c>
      <c r="M102" s="8">
        <v>1</v>
      </c>
      <c r="N102" s="8">
        <v>32</v>
      </c>
      <c r="O102" s="8">
        <v>32</v>
      </c>
      <c r="P102" s="8">
        <v>1.54</v>
      </c>
      <c r="Q102" s="8">
        <v>1.54</v>
      </c>
      <c r="R102" s="8">
        <v>0</v>
      </c>
      <c r="S102" s="8">
        <v>0</v>
      </c>
      <c r="T102" s="8">
        <v>9.25</v>
      </c>
      <c r="U102" s="8">
        <v>9.25</v>
      </c>
    </row>
    <row r="103" spans="3:21">
      <c r="C103" s="8"/>
      <c r="D103" s="8"/>
      <c r="E103" s="8"/>
      <c r="F103" s="8"/>
      <c r="G103" s="8">
        <v>31</v>
      </c>
      <c r="H103" s="8">
        <v>12.5</v>
      </c>
      <c r="I103" s="9">
        <v>0.7</v>
      </c>
      <c r="J103" s="8">
        <v>4.35</v>
      </c>
      <c r="K103" s="10">
        <v>2.08</v>
      </c>
      <c r="L103" s="8">
        <v>0.3</v>
      </c>
      <c r="M103" s="10">
        <v>0.25</v>
      </c>
      <c r="N103" s="8">
        <v>44.9</v>
      </c>
      <c r="O103" s="9">
        <v>30.7</v>
      </c>
      <c r="P103" s="8">
        <v>1.5</v>
      </c>
      <c r="Q103" s="10">
        <v>1.92</v>
      </c>
      <c r="R103" s="8">
        <v>1</v>
      </c>
      <c r="S103" s="8">
        <v>0</v>
      </c>
      <c r="T103" s="8">
        <v>2.6</v>
      </c>
      <c r="U103" s="10">
        <v>373.89</v>
      </c>
    </row>
    <row r="104" spans="3:21">
      <c r="C104" s="8"/>
      <c r="D104" s="8"/>
      <c r="E104" s="8"/>
      <c r="F104" s="8"/>
      <c r="G104" s="8">
        <v>32</v>
      </c>
      <c r="H104" s="8">
        <v>4.8</v>
      </c>
      <c r="I104" s="9">
        <v>4.9</v>
      </c>
      <c r="J104" s="8">
        <v>3.65</v>
      </c>
      <c r="K104" s="10">
        <v>2.03</v>
      </c>
      <c r="L104" s="8">
        <v>0.62</v>
      </c>
      <c r="M104" s="10">
        <v>0.16</v>
      </c>
      <c r="N104" s="8">
        <v>35.2</v>
      </c>
      <c r="O104" s="9">
        <v>34.8</v>
      </c>
      <c r="P104" s="8">
        <v>1.35</v>
      </c>
      <c r="Q104" s="10">
        <v>1.88</v>
      </c>
      <c r="R104" s="8">
        <v>0</v>
      </c>
      <c r="S104" s="8">
        <v>0</v>
      </c>
      <c r="T104" s="8">
        <v>25.5</v>
      </c>
      <c r="U104" s="10">
        <v>358.91</v>
      </c>
    </row>
    <row r="105" spans="3:21">
      <c r="C105" s="8"/>
      <c r="D105" s="8"/>
      <c r="E105" s="8"/>
      <c r="F105" s="8"/>
      <c r="G105" s="8">
        <v>33</v>
      </c>
      <c r="H105" s="8">
        <v>3.9</v>
      </c>
      <c r="I105" s="9">
        <v>5.8</v>
      </c>
      <c r="J105" s="8">
        <v>3.07</v>
      </c>
      <c r="K105" s="10">
        <v>2.12</v>
      </c>
      <c r="L105" s="8">
        <v>0.38</v>
      </c>
      <c r="M105" s="10">
        <v>0.02</v>
      </c>
      <c r="N105" s="8">
        <v>42.3</v>
      </c>
      <c r="O105" s="9">
        <v>30.2</v>
      </c>
      <c r="P105" s="8">
        <v>1.97</v>
      </c>
      <c r="Q105" s="10">
        <v>1.97</v>
      </c>
      <c r="R105" s="8">
        <v>0</v>
      </c>
      <c r="S105" s="8">
        <v>0</v>
      </c>
      <c r="T105" s="8">
        <v>79.2</v>
      </c>
      <c r="U105" s="10">
        <v>369.85</v>
      </c>
    </row>
    <row r="106" spans="3:21">
      <c r="C106" s="8"/>
      <c r="D106" s="8"/>
      <c r="E106" s="8"/>
      <c r="F106" s="8"/>
      <c r="G106" s="8">
        <v>34</v>
      </c>
      <c r="H106" s="8">
        <v>1.1</v>
      </c>
      <c r="I106" s="9">
        <v>8.7</v>
      </c>
      <c r="J106" s="8">
        <v>3.26</v>
      </c>
      <c r="K106" s="10">
        <v>2.02</v>
      </c>
      <c r="L106" s="8">
        <v>0.46</v>
      </c>
      <c r="M106" s="10">
        <v>0.19</v>
      </c>
      <c r="N106" s="8">
        <v>35.5</v>
      </c>
      <c r="O106" s="9">
        <v>33.4</v>
      </c>
      <c r="P106" s="8">
        <v>1.83</v>
      </c>
      <c r="Q106" s="10">
        <v>1.89</v>
      </c>
      <c r="R106" s="8">
        <v>0</v>
      </c>
      <c r="S106" s="8">
        <v>0</v>
      </c>
      <c r="T106" s="8">
        <v>66</v>
      </c>
      <c r="U106" s="10">
        <v>362.51</v>
      </c>
    </row>
    <row r="107" spans="3:21">
      <c r="C107" s="8"/>
      <c r="D107" s="8"/>
      <c r="E107" s="8"/>
      <c r="F107" s="8"/>
      <c r="G107" s="8">
        <v>35</v>
      </c>
      <c r="H107" s="8">
        <v>6.3</v>
      </c>
      <c r="I107" s="9">
        <v>10.5</v>
      </c>
      <c r="J107" s="8">
        <v>4.74</v>
      </c>
      <c r="K107" s="10">
        <v>2.03</v>
      </c>
      <c r="L107" s="8">
        <v>0.19</v>
      </c>
      <c r="M107" s="10">
        <v>0.35</v>
      </c>
      <c r="N107" s="8">
        <v>39</v>
      </c>
      <c r="O107" s="9">
        <v>31.3</v>
      </c>
      <c r="P107" s="8">
        <v>1.77</v>
      </c>
      <c r="Q107" s="10">
        <v>1.86</v>
      </c>
      <c r="R107" s="8">
        <v>0</v>
      </c>
      <c r="S107" s="8">
        <v>1</v>
      </c>
      <c r="T107" s="8">
        <v>1.03</v>
      </c>
      <c r="U107" s="10">
        <v>358.85</v>
      </c>
    </row>
    <row r="108" spans="3:21">
      <c r="C108" s="8"/>
      <c r="D108" s="8"/>
      <c r="E108" s="8"/>
      <c r="F108" s="8"/>
      <c r="G108" s="8">
        <v>36</v>
      </c>
      <c r="H108" s="8">
        <v>13.9</v>
      </c>
      <c r="I108" s="9">
        <v>0.4</v>
      </c>
      <c r="J108" s="8">
        <v>4.05</v>
      </c>
      <c r="K108" s="10">
        <v>2.04</v>
      </c>
      <c r="L108" s="8">
        <v>0.06</v>
      </c>
      <c r="M108" s="10">
        <v>0.77</v>
      </c>
      <c r="N108" s="8">
        <v>30.7</v>
      </c>
      <c r="O108" s="9">
        <v>34.9</v>
      </c>
      <c r="P108" s="8">
        <v>1.9</v>
      </c>
      <c r="Q108" s="10">
        <v>1.95</v>
      </c>
      <c r="R108" s="8">
        <v>1</v>
      </c>
      <c r="S108" s="8">
        <v>0</v>
      </c>
      <c r="T108" s="8">
        <v>1.12</v>
      </c>
      <c r="U108" s="10">
        <v>365.41</v>
      </c>
    </row>
    <row r="109" spans="3:21">
      <c r="C109" s="8"/>
      <c r="D109" s="8"/>
      <c r="E109" s="8"/>
      <c r="F109" s="8"/>
      <c r="G109" s="8">
        <v>37</v>
      </c>
      <c r="H109" s="8">
        <v>16.3</v>
      </c>
      <c r="I109" s="9">
        <v>4</v>
      </c>
      <c r="J109" s="8">
        <v>4.32</v>
      </c>
      <c r="K109" s="10">
        <v>2.05</v>
      </c>
      <c r="L109" s="8">
        <v>0.37</v>
      </c>
      <c r="M109" s="10">
        <v>0.17</v>
      </c>
      <c r="N109" s="8">
        <v>34.3</v>
      </c>
      <c r="O109" s="9">
        <v>32.8</v>
      </c>
      <c r="P109" s="8">
        <v>1.11</v>
      </c>
      <c r="Q109" s="10">
        <v>1.85</v>
      </c>
      <c r="R109" s="8">
        <v>1</v>
      </c>
      <c r="S109" s="8">
        <v>0</v>
      </c>
      <c r="T109" s="8">
        <v>1.07</v>
      </c>
      <c r="U109" s="10">
        <v>358.41</v>
      </c>
    </row>
    <row r="110" spans="3:21">
      <c r="C110" s="8"/>
      <c r="D110" s="8"/>
      <c r="E110" s="8"/>
      <c r="F110" s="8"/>
      <c r="G110" s="8">
        <v>38</v>
      </c>
      <c r="H110" s="8">
        <v>3.5</v>
      </c>
      <c r="I110" s="9">
        <v>2.1</v>
      </c>
      <c r="J110" s="8">
        <v>4.9</v>
      </c>
      <c r="K110" s="10">
        <v>2.08</v>
      </c>
      <c r="L110" s="8">
        <v>0.21</v>
      </c>
      <c r="M110" s="10">
        <v>0.45</v>
      </c>
      <c r="N110" s="8">
        <v>37.2</v>
      </c>
      <c r="O110" s="9">
        <v>35.6</v>
      </c>
      <c r="P110" s="8">
        <v>1.65</v>
      </c>
      <c r="Q110" s="10">
        <v>1.99</v>
      </c>
      <c r="R110" s="8">
        <v>0</v>
      </c>
      <c r="S110" s="8">
        <v>0</v>
      </c>
      <c r="T110" s="8">
        <v>2.72</v>
      </c>
      <c r="U110" s="10">
        <v>359.29</v>
      </c>
    </row>
    <row r="111" spans="3:21">
      <c r="C111" s="8"/>
      <c r="D111" s="8"/>
      <c r="E111" s="8"/>
      <c r="F111" s="8"/>
      <c r="G111" s="8">
        <v>39</v>
      </c>
      <c r="H111" s="8">
        <v>1.7</v>
      </c>
      <c r="I111" s="9">
        <v>6.8</v>
      </c>
      <c r="J111" s="8">
        <v>4.85</v>
      </c>
      <c r="K111" s="10">
        <v>2.12</v>
      </c>
      <c r="L111" s="8">
        <v>0.34</v>
      </c>
      <c r="M111" s="10">
        <v>0.07</v>
      </c>
      <c r="N111" s="8">
        <v>42.9</v>
      </c>
      <c r="O111" s="9">
        <v>33.5</v>
      </c>
      <c r="P111" s="8">
        <v>1.43</v>
      </c>
      <c r="Q111" s="10">
        <v>1.99</v>
      </c>
      <c r="R111" s="8">
        <v>0</v>
      </c>
      <c r="S111" s="8">
        <v>0</v>
      </c>
      <c r="T111" s="8">
        <v>0.793</v>
      </c>
      <c r="U111" s="10">
        <v>358.02</v>
      </c>
    </row>
    <row r="112" spans="3:21">
      <c r="C112" s="8"/>
      <c r="D112" s="8"/>
      <c r="E112" s="8"/>
      <c r="F112" s="8"/>
      <c r="G112" s="8">
        <v>40</v>
      </c>
      <c r="H112" s="8">
        <v>19.4</v>
      </c>
      <c r="I112" s="9">
        <v>10.3</v>
      </c>
      <c r="J112" s="8">
        <v>2.74</v>
      </c>
      <c r="K112" s="10">
        <v>2.03</v>
      </c>
      <c r="L112" s="8">
        <v>0.92</v>
      </c>
      <c r="M112" s="10">
        <v>0.08</v>
      </c>
      <c r="N112" s="8">
        <v>46.3</v>
      </c>
      <c r="O112" s="9">
        <v>36.1</v>
      </c>
      <c r="P112" s="8">
        <v>1.1</v>
      </c>
      <c r="Q112" s="10">
        <v>1.89</v>
      </c>
      <c r="R112" s="8">
        <v>1</v>
      </c>
      <c r="S112" s="8">
        <v>1</v>
      </c>
      <c r="T112" s="8">
        <v>29.5</v>
      </c>
      <c r="U112" s="10">
        <v>348.89</v>
      </c>
    </row>
    <row r="113" spans="3:21">
      <c r="C113" s="8"/>
      <c r="D113" s="8"/>
      <c r="E113" s="8"/>
      <c r="F113" s="8"/>
      <c r="G113" s="8">
        <v>41</v>
      </c>
      <c r="H113" s="8">
        <v>9.9</v>
      </c>
      <c r="I113" s="9">
        <v>2</v>
      </c>
      <c r="J113" s="8">
        <v>2.61</v>
      </c>
      <c r="K113" s="10">
        <v>2.04</v>
      </c>
      <c r="L113" s="8">
        <v>0.52</v>
      </c>
      <c r="M113" s="10">
        <v>0.89</v>
      </c>
      <c r="N113" s="8">
        <v>32.8</v>
      </c>
      <c r="O113" s="9">
        <v>33.6</v>
      </c>
      <c r="P113" s="8">
        <v>1.18</v>
      </c>
      <c r="Q113" s="10">
        <v>1.84</v>
      </c>
      <c r="R113" s="8">
        <v>0</v>
      </c>
      <c r="S113" s="8">
        <v>0</v>
      </c>
      <c r="T113" s="8">
        <v>109</v>
      </c>
      <c r="U113" s="10">
        <v>349.3</v>
      </c>
    </row>
    <row r="114" spans="3:21">
      <c r="C114" s="8"/>
      <c r="D114" s="8"/>
      <c r="E114" s="8"/>
      <c r="F114" s="8"/>
      <c r="G114" s="8">
        <v>42</v>
      </c>
      <c r="H114" s="8">
        <v>9.3</v>
      </c>
      <c r="I114" s="9">
        <v>3</v>
      </c>
      <c r="J114" s="8">
        <v>4.54</v>
      </c>
      <c r="K114" s="10">
        <v>2.13</v>
      </c>
      <c r="L114" s="8">
        <v>0.28</v>
      </c>
      <c r="M114" s="10">
        <v>0.33</v>
      </c>
      <c r="N114" s="8">
        <v>30</v>
      </c>
      <c r="O114" s="9">
        <v>31.3</v>
      </c>
      <c r="P114" s="8">
        <v>1.79</v>
      </c>
      <c r="Q114" s="10">
        <v>1.87</v>
      </c>
      <c r="R114" s="8">
        <v>0</v>
      </c>
      <c r="S114" s="8">
        <v>0</v>
      </c>
      <c r="T114" s="8">
        <v>1.05</v>
      </c>
      <c r="U114" s="10">
        <v>347.57</v>
      </c>
    </row>
    <row r="115" spans="3:21">
      <c r="C115" s="8"/>
      <c r="D115" s="8"/>
      <c r="E115" s="8"/>
      <c r="F115" s="8"/>
      <c r="G115" s="8">
        <v>43</v>
      </c>
      <c r="H115" s="8">
        <v>7.7</v>
      </c>
      <c r="I115" s="9">
        <v>8.1</v>
      </c>
      <c r="J115" s="8">
        <v>3.4</v>
      </c>
      <c r="K115" s="10">
        <v>2.04</v>
      </c>
      <c r="L115" s="8">
        <v>0.77</v>
      </c>
      <c r="M115" s="10">
        <v>0.85</v>
      </c>
      <c r="N115" s="8">
        <v>49.7</v>
      </c>
      <c r="O115" s="9">
        <v>35</v>
      </c>
      <c r="P115" s="8">
        <v>1.67</v>
      </c>
      <c r="Q115" s="10">
        <v>1.9</v>
      </c>
      <c r="R115" s="8">
        <v>0</v>
      </c>
      <c r="S115" s="8">
        <v>0</v>
      </c>
      <c r="T115" s="8">
        <v>20.1</v>
      </c>
      <c r="U115" s="10">
        <v>345.66</v>
      </c>
    </row>
    <row r="116" spans="3:21">
      <c r="C116" s="8"/>
      <c r="D116" s="8"/>
      <c r="E116" s="8"/>
      <c r="F116" s="8"/>
      <c r="G116" s="8">
        <v>44</v>
      </c>
      <c r="H116" s="8">
        <v>19.7</v>
      </c>
      <c r="I116" s="9">
        <v>4.3</v>
      </c>
      <c r="J116" s="8">
        <v>2.59</v>
      </c>
      <c r="K116" s="10">
        <v>2.12</v>
      </c>
      <c r="L116" s="8">
        <v>0.97</v>
      </c>
      <c r="M116" s="10">
        <v>1</v>
      </c>
      <c r="N116" s="8">
        <v>39.5</v>
      </c>
      <c r="O116" s="9">
        <v>30.4</v>
      </c>
      <c r="P116" s="8">
        <v>1.42</v>
      </c>
      <c r="Q116" s="10">
        <v>1.9</v>
      </c>
      <c r="R116" s="8">
        <v>1</v>
      </c>
      <c r="S116" s="8">
        <v>0</v>
      </c>
      <c r="T116" s="8">
        <v>59.8</v>
      </c>
      <c r="U116" s="10">
        <v>350.13</v>
      </c>
    </row>
    <row r="117" spans="3:21">
      <c r="C117" s="8"/>
      <c r="D117" s="8"/>
      <c r="E117" s="8"/>
      <c r="F117" s="8"/>
      <c r="G117" s="8">
        <v>45</v>
      </c>
      <c r="H117" s="8">
        <v>4.8</v>
      </c>
      <c r="I117" s="9">
        <v>7.8</v>
      </c>
      <c r="J117" s="8">
        <v>2.47</v>
      </c>
      <c r="K117" s="10">
        <v>2</v>
      </c>
      <c r="L117" s="8">
        <v>0.16</v>
      </c>
      <c r="M117" s="10">
        <v>0.93</v>
      </c>
      <c r="N117" s="8">
        <v>43.9</v>
      </c>
      <c r="O117" s="9">
        <v>30.4</v>
      </c>
      <c r="P117" s="8">
        <v>1.6</v>
      </c>
      <c r="Q117" s="10">
        <v>1.82</v>
      </c>
      <c r="R117" s="8">
        <v>0</v>
      </c>
      <c r="S117" s="8">
        <v>0</v>
      </c>
      <c r="T117" s="8">
        <v>149</v>
      </c>
      <c r="U117" s="10">
        <v>360.47</v>
      </c>
    </row>
    <row r="118" spans="7:21">
      <c r="G118" s="8">
        <v>46</v>
      </c>
      <c r="H118" s="8">
        <v>4.1</v>
      </c>
      <c r="I118" s="9">
        <v>8.4</v>
      </c>
      <c r="J118" s="8">
        <v>3.36</v>
      </c>
      <c r="K118" s="10">
        <v>2.02</v>
      </c>
      <c r="L118" s="8">
        <v>0.6</v>
      </c>
      <c r="M118" s="10">
        <v>0.55</v>
      </c>
      <c r="N118" s="8">
        <v>49</v>
      </c>
      <c r="O118" s="9">
        <v>32.3</v>
      </c>
      <c r="P118" s="8">
        <v>1.4</v>
      </c>
      <c r="Q118" s="10">
        <v>1.89</v>
      </c>
      <c r="R118" s="8">
        <v>0</v>
      </c>
      <c r="S118" s="8">
        <v>0</v>
      </c>
      <c r="T118" s="8">
        <v>20</v>
      </c>
      <c r="U118" s="10">
        <v>365.2</v>
      </c>
    </row>
    <row r="119" spans="7:21">
      <c r="G119" s="8">
        <v>47</v>
      </c>
      <c r="H119" s="8">
        <v>5.9</v>
      </c>
      <c r="I119" s="9">
        <v>11.8</v>
      </c>
      <c r="J119" s="8">
        <v>3.87</v>
      </c>
      <c r="K119" s="10">
        <v>2.09</v>
      </c>
      <c r="L119" s="8">
        <v>0.56</v>
      </c>
      <c r="M119" s="10">
        <v>0.14</v>
      </c>
      <c r="N119" s="8">
        <v>32.4</v>
      </c>
      <c r="O119" s="9">
        <v>32</v>
      </c>
      <c r="P119" s="8">
        <v>1.29</v>
      </c>
      <c r="Q119" s="10">
        <v>1.86</v>
      </c>
      <c r="R119" s="8">
        <v>0</v>
      </c>
      <c r="S119" s="8">
        <v>1</v>
      </c>
      <c r="T119" s="8">
        <v>21.5</v>
      </c>
      <c r="U119" s="10">
        <v>340.6</v>
      </c>
    </row>
    <row r="120" spans="7:21">
      <c r="G120" s="8">
        <v>48</v>
      </c>
      <c r="H120" s="8">
        <v>2.2</v>
      </c>
      <c r="I120" s="9">
        <v>19.8</v>
      </c>
      <c r="J120" s="8">
        <v>4.45</v>
      </c>
      <c r="K120" s="10">
        <v>2.01</v>
      </c>
      <c r="L120" s="8">
        <v>0.71</v>
      </c>
      <c r="M120" s="10">
        <v>0.82</v>
      </c>
      <c r="N120" s="8">
        <v>48.3</v>
      </c>
      <c r="O120" s="9">
        <v>34.2</v>
      </c>
      <c r="P120" s="8">
        <v>1.26</v>
      </c>
      <c r="Q120" s="10">
        <v>1.97</v>
      </c>
      <c r="R120" s="8">
        <v>0</v>
      </c>
      <c r="S120" s="8">
        <v>1</v>
      </c>
      <c r="T120" s="8">
        <v>1.07</v>
      </c>
      <c r="U120" s="10">
        <v>353.39</v>
      </c>
    </row>
    <row r="121" spans="7:21">
      <c r="G121" s="8">
        <v>49</v>
      </c>
      <c r="H121" s="8">
        <v>14.7</v>
      </c>
      <c r="I121" s="9">
        <v>12.9</v>
      </c>
      <c r="J121" s="8">
        <v>4.26</v>
      </c>
      <c r="K121" s="10">
        <v>2.04</v>
      </c>
      <c r="L121" s="8">
        <v>0.73</v>
      </c>
      <c r="M121" s="10">
        <v>0.72</v>
      </c>
      <c r="N121" s="8">
        <v>46.5</v>
      </c>
      <c r="O121" s="9">
        <v>35</v>
      </c>
      <c r="P121" s="8">
        <v>1.06</v>
      </c>
      <c r="Q121" s="10">
        <v>1.9</v>
      </c>
      <c r="R121" s="8">
        <v>1</v>
      </c>
      <c r="S121" s="8">
        <v>1</v>
      </c>
      <c r="T121" s="8">
        <v>0.777</v>
      </c>
      <c r="U121" s="10">
        <v>342.23</v>
      </c>
    </row>
    <row r="122" spans="7:21">
      <c r="G122" s="8">
        <v>50</v>
      </c>
      <c r="H122" s="8">
        <v>12.3</v>
      </c>
      <c r="I122" s="9">
        <v>14</v>
      </c>
      <c r="J122" s="8">
        <v>2.87</v>
      </c>
      <c r="K122" s="10">
        <v>2</v>
      </c>
      <c r="L122" s="8">
        <v>0.41</v>
      </c>
      <c r="M122" s="10">
        <v>0.4</v>
      </c>
      <c r="N122" s="8">
        <v>34.5</v>
      </c>
      <c r="O122" s="9">
        <v>36.3</v>
      </c>
      <c r="P122" s="8">
        <v>1.63</v>
      </c>
      <c r="Q122" s="10">
        <v>1.88</v>
      </c>
      <c r="R122" s="8">
        <v>1</v>
      </c>
      <c r="S122" s="8">
        <v>1</v>
      </c>
      <c r="T122" s="8">
        <v>84.3</v>
      </c>
      <c r="U122" s="10">
        <v>341.54</v>
      </c>
    </row>
    <row r="123" spans="18:18">
      <c r="R123" s="11"/>
    </row>
    <row r="124" spans="18:18">
      <c r="R124" s="11"/>
    </row>
    <row r="125" spans="18:18">
      <c r="R125" s="11"/>
    </row>
    <row r="126" spans="18:18">
      <c r="R126" s="11"/>
    </row>
    <row r="127" spans="18:18">
      <c r="R127" s="11"/>
    </row>
    <row r="128" spans="18:18">
      <c r="R128" s="11"/>
    </row>
    <row r="129" spans="18:18">
      <c r="R129" s="11"/>
    </row>
    <row r="130" spans="18:18">
      <c r="R130" s="11"/>
    </row>
    <row r="131" spans="18:18">
      <c r="R131" s="11"/>
    </row>
    <row r="132" spans="18:18">
      <c r="R132" s="11"/>
    </row>
  </sheetData>
  <mergeCells count="14">
    <mergeCell ref="J1:K1"/>
    <mergeCell ref="L1:M1"/>
    <mergeCell ref="N1:O1"/>
    <mergeCell ref="P1:Q1"/>
    <mergeCell ref="T1:U1"/>
    <mergeCell ref="V1:W1"/>
    <mergeCell ref="H71:I71"/>
    <mergeCell ref="J71:K71"/>
    <mergeCell ref="L71:M71"/>
    <mergeCell ref="N71:O71"/>
    <mergeCell ref="P71:Q71"/>
    <mergeCell ref="R71:S71"/>
    <mergeCell ref="T71:U71"/>
    <mergeCell ref="G71:G7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2025-05-27T12:26:00Z</dcterms:created>
  <dcterms:modified xsi:type="dcterms:W3CDTF">2025-06-14T11:59:02Z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E39712DD893C4CBB88AA8420D62863D8_12</vt:lpwstr>
  </property>
  <property fmtid="{D5CDD505-2E9C-101B-9397-08002B2CF9AE}" pid="3" name="KSOProductBuildVer">
    <vt:lpwstr>2052-12.1.0.21541</vt:lpwstr>
  </property>
</Properties>
</file>