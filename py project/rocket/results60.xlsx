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<sst xmlns="http://schemas.openxmlformats.org/spreadsheetml/2006/main" count="126" uniqueCount="87">
  <si>
    <t>cycle</t>
  </si>
  <si>
    <t>resultpm</t>
  </si>
  <si>
    <t>QL_pm</t>
  </si>
  <si>
    <t>最大飞行高度</t>
  </si>
  <si>
    <t>ACT</t>
  </si>
  <si>
    <t>LHS</t>
  </si>
  <si>
    <t>[7.874341639690101, 2.0433090715669096, 0.8748743482865393, 34.765824475325644, 1.9959504657890648]</t>
  </si>
  <si>
    <t>最大值</t>
  </si>
  <si>
    <t>序号</t>
  </si>
  <si>
    <t>X1</t>
  </si>
  <si>
    <t>X2</t>
  </si>
  <si>
    <t>X3</t>
  </si>
  <si>
    <t>X4</t>
  </si>
  <si>
    <t>X5</t>
  </si>
  <si>
    <t>X6</t>
  </si>
  <si>
    <t>Y</t>
  </si>
  <si>
    <t>[3.8334271845548273, 2.0362039463422152, 0.6860816236220018, 32.392164116902684, 1.989763299069823]</t>
  </si>
  <si>
    <t>最小值</t>
  </si>
  <si>
    <t>PM</t>
  </si>
  <si>
    <t>[5.1281173634215715, 2.1931451802564164, 0.25540798741875365, 31.237995610688753, 1.9749183414594929]</t>
  </si>
  <si>
    <t>中位数</t>
  </si>
  <si>
    <t>[6.932790458983147, 2.032834856431576, 0.3091625070591588, 30.92499441639981, 1.9958482804914324]</t>
  </si>
  <si>
    <t>平均值</t>
  </si>
  <si>
    <t>[5.812635398075595, 2.0179961982864745, 0.21897520271161475, 37.517666909932714, 1.9811170117011054]</t>
  </si>
  <si>
    <t>Q1</t>
  </si>
  <si>
    <t>[3.8842298193353177, 2.009409496229477, 0.20152327367848671, 33.197195025283584, 1.9976249989122152]</t>
  </si>
  <si>
    <t>Q3</t>
  </si>
  <si>
    <t>[3.9357537659366635, 2.1162073682845834, 0.48369318808247397, 33.58920901333963, 1.8722489905338366]</t>
  </si>
  <si>
    <t>[4.577394134917133, 2.0420577835031737, 0.12040239967782178, 38.764181984843226, 1.9437220268890187]</t>
  </si>
  <si>
    <t>QL</t>
  </si>
  <si>
    <t>[3.790162210352719, 2.0490771851036698, 0.3089936424512416, 34.935216191224754, 1.9496793488506228]</t>
  </si>
  <si>
    <t>[2.846839427947998, 2.096402630209923, 0.5412640422582626, 31.90610046684742, 1.893366128206253]</t>
  </si>
  <si>
    <t>[10.83263942040503, 2.052648071432486, 0.7695425550919026, 39.14771175477654, 1.9984219286125153]</t>
  </si>
  <si>
    <t>[1.9977817311882973, 2.0312848668545485, 0.9491597709711641, 32.290332042612135, 1.9431418986059725]</t>
  </si>
  <si>
    <t>[1.94318098020742, 2.0361969676865366, 0.4899914378339443, 31.920420854137248, 1.9679484031709404]</t>
  </si>
  <si>
    <t>[12.030102535867158, 2.016297983471304, 0.5273206833043501, 31.928395854777918, 1.9405721009705246]</t>
  </si>
  <si>
    <t>[2.6932417262407897, 2.0077816512210944, 0.5289884562413871, 31.582035575685016, 1.9939310757325472]</t>
  </si>
  <si>
    <t>[8.520015369616903, 2.0218268705066293, 0.2540962034294785, 32.341267376797596, 1.9942374691304818]</t>
  </si>
  <si>
    <t>[2.7029918817818905, 2.1815098245761626, 0.2868048439268023, 31.270548900101005, 1.958026332308614]</t>
  </si>
  <si>
    <t>[5.525980016900835, 2.008929926627883, 0.15904491861874515, 39.59972356694867, 1.8820292725222187]</t>
  </si>
  <si>
    <t>[1.5188203901052475, 2.0084251016378403, 0.5385222434997559, 35.15314531326294, 1.950000524520874]</t>
  </si>
  <si>
    <t>[6.955714166164398, 2.079912841320038, 0.2778242379426956, 33.06293532252312, 1.9670756459236145]</t>
  </si>
  <si>
    <t>[6.704097523781351, 2.0425275331359343, 0.10642562639238917, 34.30082425280936, 1.9638658479009958]</t>
  </si>
  <si>
    <t>[6.712032774082843, 2.0338815726328305, 0.25880443809957354, 32.77676886121595, 1.9727043551714485]</t>
  </si>
  <si>
    <t>[2.181885606929867, 2.06785056399252, 0.5209277840229268, 30.805872503152962, 1.987038608873263]</t>
  </si>
  <si>
    <t>[3.85083416126857, 2.0586104155236518, 0.13696057364301384, 32.05385165218508, 1.9521787389301815]</t>
  </si>
  <si>
    <t>[4.5496774600150935, 2.0256501484043836, 0.2803863725839161, 39.89546094597345, 1.9724121833050359]</t>
  </si>
  <si>
    <t>[6.075293728751086, 2.0000939262099564, 0.254173028886588, 33.45316300895411, 1.9268421106644256]</t>
  </si>
  <si>
    <t>[9.469340438954532, 2.0388069194741547, 0.9404742666520178, 33.22432487271726, 1.8429755063261837]</t>
  </si>
  <si>
    <t>[6.0546974560104845, 2.0470737559819283, 0.5945499625108408, 30.887327051737714, 1.9474035201898032]</t>
  </si>
  <si>
    <t>[14.102531278851572, 2.1515421829770798, 0.5710031289660757, 31.753747794569286, 1.9967727391049266]</t>
  </si>
  <si>
    <t>[3.8451970308183334, 2.050150661089191, 0.4668894931405676, 31.407198863456316, 1.9538228543284824]</t>
  </si>
  <si>
    <t>resultlhs</t>
  </si>
  <si>
    <t>QL_lhs</t>
  </si>
  <si>
    <t>[4.603942354062287, 2.115386783544394, 0.3813557430266051, 32.56735046804913, 1.8053096642648776]</t>
  </si>
  <si>
    <t>[4.1469956189394, 2.065755158662796, 0.2965952306985855, 37.10702705383301, 1.8952132016420364]</t>
  </si>
  <si>
    <t>[6.466709017652931, 2.1052889336078446, 0.3163576009121519, 38.09341729872973, 1.8861688352052566]</t>
  </si>
  <si>
    <t>总实验样本</t>
  </si>
  <si>
    <t>均值</t>
  </si>
  <si>
    <t>[6.455928822386243, 2.082183365046065, 0.40281636376067953, 31.631073467940574, 1.8866263939999044]</t>
  </si>
  <si>
    <t>MH</t>
  </si>
  <si>
    <t>[7.321461051702499, 2.0892216563224792, 0.18647392094135284, 36.95221221446991, 1.9037534445524216]</t>
  </si>
  <si>
    <t>[7.158282035606913, 2.099844557808728, 0.19005154351153464, 35.17749621742044, 1.8463580266058677]</t>
  </si>
  <si>
    <t>[6.643246695970381, 2.076648126172243, 0.49331568604126613, 34.84208080814352, 1.8888986901705236]</t>
  </si>
  <si>
    <t>[4.379253138968714, 2.073837211653764, 0.555069757468737, 30.498906061199023, 1.8676137349686075]</t>
  </si>
  <si>
    <t>[4.780350623608478, 2.140518397043534, 0.029908092692494392, 33.58687715824178, 1.8775072095211192]</t>
  </si>
  <si>
    <t>[5.600913645255762, 2.0552691582531137, 0.3123705782695568, 34.45327391905903, 1.8616479803083343]</t>
  </si>
  <si>
    <t>[2.2904053376987576, 2.038200812181458, 0.04842338338494301, 32.831732193008065, 1.8756728873122483]</t>
  </si>
  <si>
    <t>[7.018582805991173, 2.0682005435228348, 0.34364841878414154, 32.97677682340145, 1.8879609107971191]</t>
  </si>
  <si>
    <t>[7.397015464397706, 2.131777778834547, 0.514391449074706, 31.866722240609665, 1.7944721862101958]</t>
  </si>
  <si>
    <t>[5.099377426580618, 2.0552894088693563, 0.2985158092688344, 35.82354766516916, 1.9758019026680642]</t>
  </si>
  <si>
    <t>[6.970141514177976, 2.0750557089610298, 0.3131147118734958, 36.53597586409772, 1.8873367233502525]</t>
  </si>
  <si>
    <t>[5.209712735300945, 2.215180072699782, 0.39112133015284595, 32.54114971411152, 1.8997444886162609]</t>
  </si>
  <si>
    <t>[5.9915758979663885, 2.038237636224536, 0.3072381196749472, 36.434224229381705, 1.9478316483279805]</t>
  </si>
  <si>
    <t>[7.190951789938563, 2.015242652389365, 0.3598165868315846, 33.30905794268145, 1.8474814129770962]</t>
  </si>
  <si>
    <t>[7.3109661984952705, 2.033149135458408, 0.41867154519286665, 34.86035659930607, 1.8791474163996738]</t>
  </si>
  <si>
    <t>[5.781503807766834, 2.0719714385212455, 0.22348730507045939, 35.02944514245803, 1.848010405016674]</t>
  </si>
  <si>
    <t>[7.738218158483505, 2.079383686184883, 0.4483279436826706, 34.556368723511696, 1.8491988480091095]</t>
  </si>
  <si>
    <t>[5.173795591474391, 2.03793833194974, 0.27647603802763565, 35.9166426513119, 1.8329694417949893]</t>
  </si>
  <si>
    <t>[7.216776371002197, 2.0467689633369446, 0.22981992363929749, 35.75779356062412, 1.8600491434335709]</t>
  </si>
  <si>
    <t>[4.128048777580261, 2.0486608743667603, 0.35479727387428284, 35.159210711717606, 1.904245674610138]</t>
  </si>
  <si>
    <t>[7.463087558746338, 2.0766996443271637, 0.4095669388771057, 34.98875558376312, 1.909593939781189]</t>
  </si>
  <si>
    <t>[5.02041647057247, 2.087894318321962, 0.5468016390508242, 34.079552660826145, 1.876786877686125]</t>
  </si>
  <si>
    <t>[4.751486615432086, 2.1164516910218145, 0.2391653056857555, 35.8464097998642, 1.907726639974531]</t>
  </si>
  <si>
    <t>[6.226717920862015, 2.0711328400907085, 0.37681651587075793, 33.178694743106476, 1.8892569947000122]</t>
  </si>
  <si>
    <t>[8.980798855963444, 2.016412595146113, 0.083128975002891, 35.75976340412129, 1.893639422189493]</t>
  </si>
  <si>
    <t>[4.92236301886311, 2.1698032965456884, 0.12248619735707221, 36.55069392533592, 1.942186021549894]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</si>
</sst>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1"/>
      <name val="Segoe UI"/>
      <charset val="134"/>
    </font>
    <font>
      <sz val="11"/>
      <color theme="1"/>
      <name val="Segoe UI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2"/>
  <sheetViews>
    <sheetView tabSelected="1" topLeftCell="C4" workbookViewId="0">
      <selection activeCell="P37" sqref="P37:AA38"/>
    </sheetView>
  </sheetViews>
  <sheetFormatPr defaultColWidth="9" defaultRowHeight="13.5"/>
  <cols>
    <col min="1" max="1" width="7.375" style="1" customWidth="1"/>
    <col min="2" max="2" width="112.625" style="1" customWidth="1"/>
    <col min="3" max="3" width="12.75" style="1" customWidth="1"/>
    <col min="4" max="4" width="14.125" style="1" customWidth="1"/>
    <col min="5" max="5" width="12.75" customWidth="1"/>
    <col min="9" max="13" width="12.625"/>
    <col min="14" max="14" width="13.75" style="1" customWidth="1"/>
    <col min="15" max="15" width="10.875" customWidth="1"/>
    <col min="16" max="25" width="12.625"/>
    <col min="27" max="27" width="12.625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1" t="s">
        <v>4</v>
      </c>
      <c r="G1" s="3" t="s">
        <v>5</v>
      </c>
      <c r="N1" s="2" t="s">
        <v>3</v>
      </c>
    </row>
    <row r="2" ht="16.5" spans="1:29">
      <c r="A2" s="1">
        <v>1</v>
      </c>
      <c r="B2" s="1" t="s">
        <v>6</v>
      </c>
      <c r="C2" s="1">
        <v>3191.64349576782</v>
      </c>
      <c r="D2" s="1">
        <v>374</v>
      </c>
      <c r="E2" s="4" t="s">
        <v>7</v>
      </c>
      <c r="F2" s="5">
        <f>MAX(D2:D31)</f>
        <v>392</v>
      </c>
      <c r="G2" s="5">
        <f>MAX(D33:D62)</f>
        <v>377</v>
      </c>
      <c r="I2">
        <v>7.8743416396901</v>
      </c>
      <c r="J2">
        <v>2.0433090715669</v>
      </c>
      <c r="K2">
        <v>0.874874348286539</v>
      </c>
      <c r="L2">
        <v>34.7658244753256</v>
      </c>
      <c r="M2">
        <v>1.99595046578906</v>
      </c>
      <c r="N2" s="1">
        <v>374</v>
      </c>
      <c r="O2" s="1" t="s">
        <v>8</v>
      </c>
      <c r="P2" s="1" t="s">
        <v>9</v>
      </c>
      <c r="Q2" s="1"/>
      <c r="R2" s="1" t="s">
        <v>10</v>
      </c>
      <c r="S2" s="1"/>
      <c r="T2" s="1" t="s">
        <v>11</v>
      </c>
      <c r="U2" s="1"/>
      <c r="V2" s="1" t="s">
        <v>12</v>
      </c>
      <c r="W2" s="1"/>
      <c r="X2" s="1" t="s">
        <v>13</v>
      </c>
      <c r="Y2" s="1"/>
      <c r="Z2" s="1" t="s">
        <v>14</v>
      </c>
      <c r="AA2" s="1"/>
      <c r="AB2" s="1" t="s">
        <v>15</v>
      </c>
      <c r="AC2" s="1"/>
    </row>
    <row r="3" ht="16.5" spans="1:29">
      <c r="A3" s="1">
        <v>2</v>
      </c>
      <c r="B3" s="1" t="s">
        <v>16</v>
      </c>
      <c r="C3" s="1">
        <v>2014.44248334154</v>
      </c>
      <c r="D3" s="1">
        <v>383</v>
      </c>
      <c r="E3" s="6" t="s">
        <v>17</v>
      </c>
      <c r="F3" s="5">
        <f>MIN(D2:D31)</f>
        <v>300</v>
      </c>
      <c r="G3" s="5">
        <f>MIN(D33:D62)</f>
        <v>320</v>
      </c>
      <c r="I3">
        <v>3.83342718455482</v>
      </c>
      <c r="J3">
        <v>2.03620394634221</v>
      </c>
      <c r="K3">
        <v>0.686081623622001</v>
      </c>
      <c r="L3">
        <v>32.3921641169026</v>
      </c>
      <c r="M3">
        <v>1.98976329906982</v>
      </c>
      <c r="N3" s="1">
        <v>383</v>
      </c>
      <c r="O3" s="1"/>
      <c r="P3" s="1" t="s">
        <v>5</v>
      </c>
      <c r="Q3" s="1" t="s">
        <v>18</v>
      </c>
      <c r="R3" s="1" t="s">
        <v>5</v>
      </c>
      <c r="S3" s="1" t="s">
        <v>18</v>
      </c>
      <c r="T3" s="1" t="s">
        <v>5</v>
      </c>
      <c r="U3" s="1" t="s">
        <v>18</v>
      </c>
      <c r="V3" s="1" t="s">
        <v>5</v>
      </c>
      <c r="W3" s="1" t="s">
        <v>18</v>
      </c>
      <c r="X3" s="1" t="s">
        <v>5</v>
      </c>
      <c r="Y3" s="1" t="s">
        <v>18</v>
      </c>
      <c r="Z3" s="1" t="s">
        <v>5</v>
      </c>
      <c r="AA3" s="1" t="s">
        <v>18</v>
      </c>
      <c r="AB3" s="1" t="s">
        <v>5</v>
      </c>
      <c r="AC3" s="1" t="s">
        <v>18</v>
      </c>
    </row>
    <row r="4" ht="16.5" spans="1:29">
      <c r="A4" s="1">
        <v>3</v>
      </c>
      <c r="B4" s="1" t="s">
        <v>19</v>
      </c>
      <c r="C4" s="1">
        <v>6720.96941952084</v>
      </c>
      <c r="D4" s="1">
        <v>350</v>
      </c>
      <c r="E4" s="4" t="s">
        <v>20</v>
      </c>
      <c r="F4" s="5">
        <f>MEDIAN(D2:D31)</f>
        <v>371.5</v>
      </c>
      <c r="G4" s="5">
        <f>MEDIAN(D33:D62)</f>
        <v>353.5</v>
      </c>
      <c r="I4">
        <v>5.12811736342157</v>
      </c>
      <c r="J4">
        <v>2.19314518025641</v>
      </c>
      <c r="K4">
        <v>0.255407987418753</v>
      </c>
      <c r="L4">
        <v>31.2379956106887</v>
      </c>
      <c r="M4">
        <v>1.97491834145949</v>
      </c>
      <c r="N4" s="1">
        <v>350</v>
      </c>
      <c r="O4" s="1">
        <v>1</v>
      </c>
      <c r="P4" s="7">
        <v>4.6</v>
      </c>
      <c r="Q4" s="7">
        <v>7.9</v>
      </c>
      <c r="R4" s="10">
        <v>2.12</v>
      </c>
      <c r="S4" s="10">
        <v>2.04</v>
      </c>
      <c r="T4" s="10">
        <v>0.38</v>
      </c>
      <c r="U4" s="10">
        <v>0.87</v>
      </c>
      <c r="V4" s="7">
        <v>32.6</v>
      </c>
      <c r="W4" s="7">
        <v>34.8</v>
      </c>
      <c r="X4" s="10">
        <v>1.81</v>
      </c>
      <c r="Y4" s="10">
        <v>2</v>
      </c>
      <c r="Z4" s="1">
        <v>0</v>
      </c>
      <c r="AA4" s="1">
        <v>0</v>
      </c>
      <c r="AB4" s="1">
        <v>333</v>
      </c>
      <c r="AC4" s="1">
        <v>374</v>
      </c>
    </row>
    <row r="5" ht="16.5" spans="1:29">
      <c r="A5" s="1">
        <v>4</v>
      </c>
      <c r="B5" s="1" t="s">
        <v>21</v>
      </c>
      <c r="C5" s="1">
        <v>2134.36504850847</v>
      </c>
      <c r="D5" s="1">
        <v>392</v>
      </c>
      <c r="E5" s="4" t="s">
        <v>22</v>
      </c>
      <c r="F5" s="5">
        <f>AVERAGE(D2:D31)</f>
        <v>365.833333333333</v>
      </c>
      <c r="G5" s="5">
        <f>AVERAGE(D33:D62)</f>
        <v>351.866666666667</v>
      </c>
      <c r="I5">
        <v>6.93279045898314</v>
      </c>
      <c r="J5">
        <v>2.03283485643157</v>
      </c>
      <c r="K5">
        <v>0.309162507059158</v>
      </c>
      <c r="L5">
        <v>30.9249944163998</v>
      </c>
      <c r="M5">
        <v>1.99584828049143</v>
      </c>
      <c r="N5" s="1">
        <v>392</v>
      </c>
      <c r="O5" s="1">
        <v>2</v>
      </c>
      <c r="P5" s="7">
        <v>4.1</v>
      </c>
      <c r="Q5" s="7">
        <v>3.8</v>
      </c>
      <c r="R5" s="10">
        <v>2.07</v>
      </c>
      <c r="S5" s="10">
        <v>2.04</v>
      </c>
      <c r="T5" s="10">
        <v>0.3</v>
      </c>
      <c r="U5" s="10">
        <v>0.69</v>
      </c>
      <c r="V5" s="7">
        <v>37.1</v>
      </c>
      <c r="W5" s="7">
        <v>32.4</v>
      </c>
      <c r="X5" s="10">
        <v>1.9</v>
      </c>
      <c r="Y5" s="10">
        <v>1.99</v>
      </c>
      <c r="Z5" s="1">
        <v>0</v>
      </c>
      <c r="AA5" s="1">
        <v>0</v>
      </c>
      <c r="AB5" s="1">
        <v>354</v>
      </c>
      <c r="AC5" s="1">
        <v>383</v>
      </c>
    </row>
    <row r="6" ht="16.5" spans="1:29">
      <c r="A6" s="1">
        <v>5</v>
      </c>
      <c r="B6" s="1" t="s">
        <v>23</v>
      </c>
      <c r="C6" s="1">
        <v>2969.42572581752</v>
      </c>
      <c r="D6" s="1">
        <v>383</v>
      </c>
      <c r="E6" s="4" t="s">
        <v>24</v>
      </c>
      <c r="F6" s="5">
        <f>QUARTILE(D2:D31,1)</f>
        <v>350</v>
      </c>
      <c r="G6" s="5">
        <f>QUARTILE(D33:D62,1)</f>
        <v>347</v>
      </c>
      <c r="I6">
        <v>5.81263539807559</v>
      </c>
      <c r="J6">
        <v>2.01799619828647</v>
      </c>
      <c r="K6">
        <v>0.218975202711614</v>
      </c>
      <c r="L6">
        <v>37.5176669099327</v>
      </c>
      <c r="M6">
        <v>1.9811170117011</v>
      </c>
      <c r="N6" s="1">
        <v>383</v>
      </c>
      <c r="O6" s="1">
        <v>3</v>
      </c>
      <c r="P6" s="7">
        <v>6.5</v>
      </c>
      <c r="Q6" s="7">
        <v>5.1</v>
      </c>
      <c r="R6" s="10">
        <v>2.11</v>
      </c>
      <c r="S6" s="10">
        <v>2.19</v>
      </c>
      <c r="T6" s="10">
        <v>0.32</v>
      </c>
      <c r="U6" s="10">
        <v>0.26</v>
      </c>
      <c r="V6" s="7">
        <v>38.1</v>
      </c>
      <c r="W6" s="7">
        <v>31.2</v>
      </c>
      <c r="X6" s="10">
        <v>1.89</v>
      </c>
      <c r="Y6" s="10">
        <v>1.97</v>
      </c>
      <c r="Z6" s="1">
        <v>0</v>
      </c>
      <c r="AA6" s="1">
        <v>0</v>
      </c>
      <c r="AB6" s="1">
        <v>336</v>
      </c>
      <c r="AC6" s="1">
        <v>350</v>
      </c>
    </row>
    <row r="7" ht="16.5" spans="1:29">
      <c r="A7" s="1">
        <v>6</v>
      </c>
      <c r="B7" s="1" t="s">
        <v>25</v>
      </c>
      <c r="C7" s="1">
        <v>2710.44797020442</v>
      </c>
      <c r="D7" s="1">
        <v>392</v>
      </c>
      <c r="E7" s="4" t="s">
        <v>26</v>
      </c>
      <c r="F7" s="5">
        <f>QUARTILE(D2:D31,3)</f>
        <v>383</v>
      </c>
      <c r="G7" s="5">
        <f>QUARTILE(D33:D62,3)</f>
        <v>359</v>
      </c>
      <c r="I7">
        <v>3.88422981933531</v>
      </c>
      <c r="J7">
        <v>2.00940949622947</v>
      </c>
      <c r="K7">
        <v>0.201523273678486</v>
      </c>
      <c r="L7">
        <v>33.1971950252835</v>
      </c>
      <c r="M7">
        <v>1.99762499891221</v>
      </c>
      <c r="N7" s="1">
        <v>392</v>
      </c>
      <c r="O7" s="1">
        <v>4</v>
      </c>
      <c r="P7" s="7">
        <v>6.5</v>
      </c>
      <c r="Q7" s="7">
        <v>6.9</v>
      </c>
      <c r="R7" s="10">
        <v>2.08</v>
      </c>
      <c r="S7" s="10">
        <v>2.03</v>
      </c>
      <c r="T7" s="10">
        <v>0.4</v>
      </c>
      <c r="U7" s="10">
        <v>0.31</v>
      </c>
      <c r="V7" s="7">
        <v>31.6</v>
      </c>
      <c r="W7" s="7">
        <v>30.9</v>
      </c>
      <c r="X7" s="10">
        <v>1.89</v>
      </c>
      <c r="Y7" s="10">
        <v>2</v>
      </c>
      <c r="Z7" s="1">
        <v>0</v>
      </c>
      <c r="AA7" s="1">
        <v>0</v>
      </c>
      <c r="AB7" s="1">
        <v>358</v>
      </c>
      <c r="AC7" s="1">
        <v>392</v>
      </c>
    </row>
    <row r="8" spans="1:29">
      <c r="A8" s="1">
        <v>7</v>
      </c>
      <c r="B8" s="1" t="s">
        <v>27</v>
      </c>
      <c r="C8" s="1">
        <v>4643.43666915764</v>
      </c>
      <c r="D8" s="1">
        <v>341</v>
      </c>
      <c r="E8" s="1"/>
      <c r="F8" s="1"/>
      <c r="G8" s="3"/>
      <c r="I8">
        <v>3.93575376593666</v>
      </c>
      <c r="J8">
        <v>2.11620736828458</v>
      </c>
      <c r="K8">
        <v>0.483693188082473</v>
      </c>
      <c r="L8">
        <v>33.5892090133396</v>
      </c>
      <c r="M8">
        <v>1.87224899053383</v>
      </c>
      <c r="N8" s="1">
        <v>341</v>
      </c>
      <c r="O8" s="1">
        <v>5</v>
      </c>
      <c r="P8" s="7">
        <v>7.3</v>
      </c>
      <c r="Q8" s="7">
        <v>5.8</v>
      </c>
      <c r="R8" s="10">
        <v>2.09</v>
      </c>
      <c r="S8" s="10">
        <v>2.02</v>
      </c>
      <c r="T8" s="10">
        <v>0.19</v>
      </c>
      <c r="U8" s="10">
        <v>0.22</v>
      </c>
      <c r="V8" s="7">
        <v>37</v>
      </c>
      <c r="W8" s="7">
        <v>37.5</v>
      </c>
      <c r="X8" s="10">
        <v>1.9</v>
      </c>
      <c r="Y8" s="10">
        <v>1.98</v>
      </c>
      <c r="Z8" s="1">
        <v>0</v>
      </c>
      <c r="AA8" s="1">
        <v>0</v>
      </c>
      <c r="AB8" s="1">
        <v>352</v>
      </c>
      <c r="AC8" s="1">
        <v>383</v>
      </c>
    </row>
    <row r="9" spans="1:29">
      <c r="A9" s="1">
        <v>8</v>
      </c>
      <c r="B9" s="1" t="s">
        <v>28</v>
      </c>
      <c r="C9" s="1">
        <v>3257.47678106717</v>
      </c>
      <c r="D9" s="1">
        <v>370</v>
      </c>
      <c r="E9" s="1" t="s">
        <v>29</v>
      </c>
      <c r="F9" s="1"/>
      <c r="G9" s="3"/>
      <c r="I9">
        <v>4.57739413491713</v>
      </c>
      <c r="J9">
        <v>2.04205778350317</v>
      </c>
      <c r="K9">
        <v>0.120402399677821</v>
      </c>
      <c r="L9">
        <v>38.7641819848432</v>
      </c>
      <c r="M9">
        <v>1.94372202688901</v>
      </c>
      <c r="N9" s="1">
        <v>370</v>
      </c>
      <c r="O9" s="1">
        <v>6</v>
      </c>
      <c r="P9" s="7">
        <v>7.2</v>
      </c>
      <c r="Q9" s="7">
        <v>3.9</v>
      </c>
      <c r="R9" s="10">
        <v>2.1</v>
      </c>
      <c r="S9" s="10">
        <v>2.01</v>
      </c>
      <c r="T9" s="10">
        <v>0.19</v>
      </c>
      <c r="U9" s="10">
        <v>0.2</v>
      </c>
      <c r="V9" s="7">
        <v>35.2</v>
      </c>
      <c r="W9" s="7">
        <v>33.2</v>
      </c>
      <c r="X9" s="10">
        <v>1.85</v>
      </c>
      <c r="Y9" s="10">
        <v>2</v>
      </c>
      <c r="Z9" s="1">
        <v>0</v>
      </c>
      <c r="AA9" s="1">
        <v>0</v>
      </c>
      <c r="AB9" s="1">
        <v>341</v>
      </c>
      <c r="AC9" s="1">
        <v>392</v>
      </c>
    </row>
    <row r="10" ht="16.5" spans="1:29">
      <c r="A10" s="1">
        <v>9</v>
      </c>
      <c r="B10" s="1" t="s">
        <v>30</v>
      </c>
      <c r="C10" s="1">
        <v>3005.93963274948</v>
      </c>
      <c r="D10" s="1">
        <v>371</v>
      </c>
      <c r="E10" s="4" t="s">
        <v>7</v>
      </c>
      <c r="F10" s="1">
        <f>MAX(C2:C31)</f>
        <v>6720.96941952084</v>
      </c>
      <c r="G10" s="3">
        <f>MAX(C33:C62)</f>
        <v>9498.79011829323</v>
      </c>
      <c r="I10">
        <v>3.79016221035271</v>
      </c>
      <c r="J10">
        <v>2.04907718510366</v>
      </c>
      <c r="K10">
        <v>0.308993642451241</v>
      </c>
      <c r="L10">
        <v>34.9352161912247</v>
      </c>
      <c r="M10">
        <v>1.94967934885062</v>
      </c>
      <c r="N10" s="1">
        <v>371</v>
      </c>
      <c r="O10" s="1">
        <v>7</v>
      </c>
      <c r="P10" s="7">
        <v>6.6</v>
      </c>
      <c r="Q10" s="7">
        <v>3.9</v>
      </c>
      <c r="R10" s="10">
        <v>2.08</v>
      </c>
      <c r="S10" s="10">
        <v>2.12</v>
      </c>
      <c r="T10" s="10">
        <v>0.49</v>
      </c>
      <c r="U10" s="10">
        <v>0.48</v>
      </c>
      <c r="V10" s="7">
        <v>34.8</v>
      </c>
      <c r="W10" s="7">
        <v>33.6</v>
      </c>
      <c r="X10" s="10">
        <v>1.89</v>
      </c>
      <c r="Y10" s="10">
        <v>1.87</v>
      </c>
      <c r="Z10" s="1">
        <v>0</v>
      </c>
      <c r="AA10" s="1">
        <v>0</v>
      </c>
      <c r="AB10" s="1">
        <v>349</v>
      </c>
      <c r="AC10" s="1">
        <v>341</v>
      </c>
    </row>
    <row r="11" ht="15" spans="1:29">
      <c r="A11" s="1">
        <v>10</v>
      </c>
      <c r="B11" s="1" t="s">
        <v>31</v>
      </c>
      <c r="C11" s="1">
        <v>3795.700971109</v>
      </c>
      <c r="D11" s="1">
        <v>350</v>
      </c>
      <c r="E11" s="6" t="s">
        <v>17</v>
      </c>
      <c r="F11" s="1">
        <f>MIN(C2:C31)</f>
        <v>1018.22402172889</v>
      </c>
      <c r="G11" s="3">
        <f>MIN(C33:C62)</f>
        <v>2690.93560019959</v>
      </c>
      <c r="I11">
        <v>2.84683942794799</v>
      </c>
      <c r="J11">
        <v>2.09640263020992</v>
      </c>
      <c r="K11">
        <v>0.541264042258262</v>
      </c>
      <c r="L11">
        <v>31.9061004668474</v>
      </c>
      <c r="M11">
        <v>1.89336612820625</v>
      </c>
      <c r="N11" s="1">
        <v>350</v>
      </c>
      <c r="O11" s="1">
        <v>8</v>
      </c>
      <c r="P11" s="7">
        <v>4.4</v>
      </c>
      <c r="Q11" s="7">
        <v>4.6</v>
      </c>
      <c r="R11" s="10">
        <v>2.07</v>
      </c>
      <c r="S11" s="10">
        <v>2.04</v>
      </c>
      <c r="T11" s="10">
        <v>0.56</v>
      </c>
      <c r="U11" s="10">
        <v>0.12</v>
      </c>
      <c r="V11" s="7">
        <v>30.5</v>
      </c>
      <c r="W11" s="7">
        <v>38.8</v>
      </c>
      <c r="X11" s="10">
        <v>1.87</v>
      </c>
      <c r="Y11" s="10">
        <v>1.94</v>
      </c>
      <c r="Z11" s="1">
        <v>0</v>
      </c>
      <c r="AA11" s="1">
        <v>0</v>
      </c>
      <c r="AB11" s="1">
        <v>360</v>
      </c>
      <c r="AC11" s="1">
        <v>370</v>
      </c>
    </row>
    <row r="12" ht="16.5" spans="1:29">
      <c r="A12" s="1">
        <v>11</v>
      </c>
      <c r="B12" s="1" t="s">
        <v>32</v>
      </c>
      <c r="C12" s="1">
        <v>3478.80544553968</v>
      </c>
      <c r="D12" s="1">
        <v>333</v>
      </c>
      <c r="E12" s="4" t="s">
        <v>20</v>
      </c>
      <c r="F12" s="1">
        <f>MEDIAN(C2:C31)</f>
        <v>3013.73243489438</v>
      </c>
      <c r="G12" s="3">
        <f>MEDIAN(C33:C62)</f>
        <v>5342.48638644366</v>
      </c>
      <c r="I12">
        <v>10.832639420405</v>
      </c>
      <c r="J12">
        <v>2.05264807143248</v>
      </c>
      <c r="K12">
        <v>0.769542555091902</v>
      </c>
      <c r="L12">
        <v>39.1477117547765</v>
      </c>
      <c r="M12">
        <v>1.99842192861251</v>
      </c>
      <c r="N12" s="1">
        <v>333</v>
      </c>
      <c r="O12" s="1">
        <v>9</v>
      </c>
      <c r="P12" s="7">
        <v>4.8</v>
      </c>
      <c r="Q12" s="7">
        <v>3.8</v>
      </c>
      <c r="R12" s="10">
        <v>2.14</v>
      </c>
      <c r="S12" s="10">
        <v>2.05</v>
      </c>
      <c r="T12" s="10">
        <v>0.03</v>
      </c>
      <c r="U12" s="10">
        <v>0.31</v>
      </c>
      <c r="V12" s="7">
        <v>33.6</v>
      </c>
      <c r="W12" s="7">
        <v>34.9</v>
      </c>
      <c r="X12" s="10">
        <v>1.88</v>
      </c>
      <c r="Y12" s="10">
        <v>1.95</v>
      </c>
      <c r="Z12" s="1">
        <v>0</v>
      </c>
      <c r="AA12" s="1">
        <v>0</v>
      </c>
      <c r="AB12" s="1">
        <v>347</v>
      </c>
      <c r="AC12" s="1">
        <v>371</v>
      </c>
    </row>
    <row r="13" ht="16.5" spans="1:29">
      <c r="A13" s="1">
        <v>12</v>
      </c>
      <c r="B13" s="1" t="s">
        <v>33</v>
      </c>
      <c r="C13" s="1">
        <v>1034.5584260401</v>
      </c>
      <c r="D13" s="1">
        <v>359</v>
      </c>
      <c r="E13" s="4" t="s">
        <v>22</v>
      </c>
      <c r="F13" s="1">
        <f>AVERAGE(C2:C31)</f>
        <v>2930.527601764</v>
      </c>
      <c r="G13" s="3">
        <f>AVERAGE(C33:C62)</f>
        <v>5784.58489550995</v>
      </c>
      <c r="I13">
        <v>1.99778173118829</v>
      </c>
      <c r="J13">
        <v>2.03128486685454</v>
      </c>
      <c r="K13">
        <v>0.949159770971164</v>
      </c>
      <c r="L13">
        <v>32.2903320426121</v>
      </c>
      <c r="M13">
        <v>1.94314189860597</v>
      </c>
      <c r="N13" s="1">
        <v>359</v>
      </c>
      <c r="O13" s="1">
        <v>10</v>
      </c>
      <c r="P13" s="7">
        <v>5.6</v>
      </c>
      <c r="Q13" s="7">
        <v>2.8</v>
      </c>
      <c r="R13" s="10">
        <v>2.06</v>
      </c>
      <c r="S13" s="10">
        <v>2.1</v>
      </c>
      <c r="T13" s="10">
        <v>0.31</v>
      </c>
      <c r="U13" s="10">
        <v>0.54</v>
      </c>
      <c r="V13" s="7">
        <v>34.5</v>
      </c>
      <c r="W13" s="7">
        <v>31.9</v>
      </c>
      <c r="X13" s="10">
        <v>1.86</v>
      </c>
      <c r="Y13" s="10">
        <v>1.89</v>
      </c>
      <c r="Z13" s="1">
        <v>0</v>
      </c>
      <c r="AA13" s="1">
        <v>0</v>
      </c>
      <c r="AB13" s="1">
        <v>357</v>
      </c>
      <c r="AC13" s="1">
        <v>350</v>
      </c>
    </row>
    <row r="14" ht="16.5" spans="1:29">
      <c r="A14" s="1">
        <v>13</v>
      </c>
      <c r="B14" s="1" t="s">
        <v>34</v>
      </c>
      <c r="C14" s="1">
        <v>3339.66771336162</v>
      </c>
      <c r="D14" s="1">
        <v>360</v>
      </c>
      <c r="E14" s="4" t="s">
        <v>24</v>
      </c>
      <c r="F14" s="1">
        <f>QUARTILE(C2:C31,1)</f>
        <v>2160.40303248836</v>
      </c>
      <c r="G14" s="3">
        <f>QUARTILE(C33:C62,1)</f>
        <v>4459.98415352141</v>
      </c>
      <c r="I14">
        <v>1.94318098020742</v>
      </c>
      <c r="J14">
        <v>2.03619696768653</v>
      </c>
      <c r="K14">
        <v>0.489991437833944</v>
      </c>
      <c r="L14">
        <v>31.9204208541372</v>
      </c>
      <c r="M14">
        <v>1.96794840317094</v>
      </c>
      <c r="N14" s="1">
        <v>360</v>
      </c>
      <c r="O14" s="1">
        <v>11</v>
      </c>
      <c r="P14" s="7">
        <v>2.3</v>
      </c>
      <c r="Q14" s="7">
        <v>10.8</v>
      </c>
      <c r="R14" s="10">
        <v>2.04</v>
      </c>
      <c r="S14" s="10">
        <v>2.05</v>
      </c>
      <c r="T14" s="10">
        <v>0.05</v>
      </c>
      <c r="U14" s="10">
        <v>0.77</v>
      </c>
      <c r="V14" s="7">
        <v>32.8</v>
      </c>
      <c r="W14" s="7">
        <v>39.1</v>
      </c>
      <c r="X14" s="10">
        <v>1.88</v>
      </c>
      <c r="Y14" s="10">
        <v>2</v>
      </c>
      <c r="Z14" s="1">
        <v>0</v>
      </c>
      <c r="AA14" s="1">
        <v>1</v>
      </c>
      <c r="AB14" s="1">
        <v>358</v>
      </c>
      <c r="AC14" s="1">
        <v>333</v>
      </c>
    </row>
    <row r="15" ht="16.5" spans="1:29">
      <c r="A15" s="1">
        <v>14</v>
      </c>
      <c r="B15" s="1" t="s">
        <v>35</v>
      </c>
      <c r="C15" s="1">
        <v>2001.07705233351</v>
      </c>
      <c r="D15" s="1">
        <v>346</v>
      </c>
      <c r="E15" s="4" t="s">
        <v>26</v>
      </c>
      <c r="F15" s="1">
        <f>QUARTILE(C2:C31,3)</f>
        <v>3456.65477750039</v>
      </c>
      <c r="G15" s="3">
        <f>QUARTILE(C33:C62,3)</f>
        <v>7648.59435638849</v>
      </c>
      <c r="I15">
        <v>12.0301025358671</v>
      </c>
      <c r="J15">
        <v>2.0162979834713</v>
      </c>
      <c r="K15">
        <v>0.52732068330435</v>
      </c>
      <c r="L15">
        <v>31.9283958547779</v>
      </c>
      <c r="M15">
        <v>1.94057210097052</v>
      </c>
      <c r="N15" s="1">
        <v>346</v>
      </c>
      <c r="O15" s="1">
        <v>12</v>
      </c>
      <c r="P15" s="7">
        <v>7</v>
      </c>
      <c r="Q15" s="7">
        <v>2</v>
      </c>
      <c r="R15" s="10">
        <v>2.07</v>
      </c>
      <c r="S15" s="10">
        <v>2.03</v>
      </c>
      <c r="T15" s="10">
        <v>0.34</v>
      </c>
      <c r="U15" s="10">
        <v>0.95</v>
      </c>
      <c r="V15" s="7">
        <v>33</v>
      </c>
      <c r="W15" s="7">
        <v>32.3</v>
      </c>
      <c r="X15" s="10">
        <v>1.89</v>
      </c>
      <c r="Y15" s="10">
        <v>1.94</v>
      </c>
      <c r="Z15" s="1">
        <v>0</v>
      </c>
      <c r="AA15" s="1">
        <v>0</v>
      </c>
      <c r="AB15" s="1">
        <v>359</v>
      </c>
      <c r="AC15" s="1">
        <v>359</v>
      </c>
    </row>
    <row r="16" spans="1:29">
      <c r="A16" s="1">
        <v>15</v>
      </c>
      <c r="B16" s="1" t="s">
        <v>36</v>
      </c>
      <c r="C16" s="1">
        <v>1696.41901892652</v>
      </c>
      <c r="D16" s="1">
        <v>383</v>
      </c>
      <c r="I16">
        <v>2.69324172624078</v>
      </c>
      <c r="J16">
        <v>2.00778165122109</v>
      </c>
      <c r="K16">
        <v>0.528988456241387</v>
      </c>
      <c r="L16">
        <v>31.582035575685</v>
      </c>
      <c r="M16">
        <v>1.99393107573254</v>
      </c>
      <c r="N16" s="1">
        <v>383</v>
      </c>
      <c r="O16" s="1">
        <v>13</v>
      </c>
      <c r="P16" s="7">
        <v>7.4</v>
      </c>
      <c r="Q16" s="7">
        <v>1.9</v>
      </c>
      <c r="R16" s="10">
        <v>2.13</v>
      </c>
      <c r="S16" s="10">
        <v>2.04</v>
      </c>
      <c r="T16" s="10">
        <v>0.51</v>
      </c>
      <c r="U16" s="10">
        <v>0.49</v>
      </c>
      <c r="V16" s="7">
        <v>31.9</v>
      </c>
      <c r="W16" s="7">
        <v>31.9</v>
      </c>
      <c r="X16" s="10">
        <v>1.79</v>
      </c>
      <c r="Y16" s="10">
        <v>1.97</v>
      </c>
      <c r="Z16" s="1">
        <v>0</v>
      </c>
      <c r="AA16" s="1">
        <v>0</v>
      </c>
      <c r="AB16" s="1">
        <v>320</v>
      </c>
      <c r="AC16" s="1">
        <v>360</v>
      </c>
    </row>
    <row r="17" spans="1:29">
      <c r="A17" s="1">
        <v>16</v>
      </c>
      <c r="B17" s="1" t="s">
        <v>37</v>
      </c>
      <c r="C17" s="1">
        <v>2238.51698442802</v>
      </c>
      <c r="D17" s="1">
        <v>391</v>
      </c>
      <c r="I17">
        <v>8.5200153696169</v>
      </c>
      <c r="J17">
        <v>2.02182687050662</v>
      </c>
      <c r="K17">
        <v>0.254096203429478</v>
      </c>
      <c r="L17">
        <v>32.3412673767975</v>
      </c>
      <c r="M17">
        <v>1.99423746913048</v>
      </c>
      <c r="N17" s="1">
        <v>391</v>
      </c>
      <c r="O17" s="1">
        <v>14</v>
      </c>
      <c r="P17" s="7">
        <v>5.1</v>
      </c>
      <c r="Q17" s="7">
        <v>12</v>
      </c>
      <c r="R17" s="10">
        <v>2.06</v>
      </c>
      <c r="S17" s="10">
        <v>2.02</v>
      </c>
      <c r="T17" s="10">
        <v>0.3</v>
      </c>
      <c r="U17" s="10">
        <v>0.53</v>
      </c>
      <c r="V17" s="7">
        <v>35.8</v>
      </c>
      <c r="W17" s="7">
        <v>31.9</v>
      </c>
      <c r="X17" s="10">
        <v>1.98</v>
      </c>
      <c r="Y17" s="10">
        <v>1.94</v>
      </c>
      <c r="Z17" s="1">
        <v>0</v>
      </c>
      <c r="AA17" s="1">
        <v>1</v>
      </c>
      <c r="AB17" s="1">
        <v>374</v>
      </c>
      <c r="AC17" s="1">
        <v>346</v>
      </c>
    </row>
    <row r="18" spans="1:29">
      <c r="A18" s="1">
        <v>17</v>
      </c>
      <c r="B18" s="1" t="s">
        <v>38</v>
      </c>
      <c r="C18" s="1">
        <v>3390.20277338251</v>
      </c>
      <c r="D18" s="1">
        <v>340</v>
      </c>
      <c r="I18">
        <v>2.70299188178189</v>
      </c>
      <c r="J18">
        <v>2.18150982457616</v>
      </c>
      <c r="K18">
        <v>0.286804843926802</v>
      </c>
      <c r="L18">
        <v>31.270548900101</v>
      </c>
      <c r="M18">
        <v>1.95802633230861</v>
      </c>
      <c r="N18" s="1">
        <v>340</v>
      </c>
      <c r="O18" s="1">
        <v>15</v>
      </c>
      <c r="P18" s="7">
        <v>7</v>
      </c>
      <c r="Q18" s="7">
        <v>2.7</v>
      </c>
      <c r="R18" s="10">
        <v>2.08</v>
      </c>
      <c r="S18" s="10">
        <v>2.01</v>
      </c>
      <c r="T18" s="10">
        <v>0.31</v>
      </c>
      <c r="U18" s="10">
        <v>0.53</v>
      </c>
      <c r="V18" s="7">
        <v>36.5</v>
      </c>
      <c r="W18" s="7">
        <v>31.6</v>
      </c>
      <c r="X18" s="10">
        <v>1.89</v>
      </c>
      <c r="Y18" s="10">
        <v>1.99</v>
      </c>
      <c r="Z18" s="1">
        <v>0</v>
      </c>
      <c r="AA18" s="1">
        <v>0</v>
      </c>
      <c r="AB18" s="1">
        <v>349</v>
      </c>
      <c r="AC18" s="1">
        <v>383</v>
      </c>
    </row>
    <row r="19" spans="1:29">
      <c r="A19" s="1">
        <v>18</v>
      </c>
      <c r="B19" s="1" t="s">
        <v>39</v>
      </c>
      <c r="C19" s="1">
        <v>3237.30443235883</v>
      </c>
      <c r="D19" s="1">
        <v>367</v>
      </c>
      <c r="I19">
        <v>5.52598001690083</v>
      </c>
      <c r="J19">
        <v>2.00892992662788</v>
      </c>
      <c r="K19">
        <v>0.159044918618745</v>
      </c>
      <c r="L19">
        <v>39.5997235669486</v>
      </c>
      <c r="M19">
        <v>1.88202927252221</v>
      </c>
      <c r="N19" s="1">
        <v>367</v>
      </c>
      <c r="O19" s="1">
        <v>16</v>
      </c>
      <c r="P19" s="7">
        <v>5.2</v>
      </c>
      <c r="Q19" s="7">
        <v>8.5</v>
      </c>
      <c r="R19" s="10">
        <v>2.22</v>
      </c>
      <c r="S19" s="10">
        <v>2.02</v>
      </c>
      <c r="T19" s="10">
        <v>0.39</v>
      </c>
      <c r="U19" s="10">
        <v>0.25</v>
      </c>
      <c r="V19" s="7">
        <v>32.5</v>
      </c>
      <c r="W19" s="7">
        <v>32.3</v>
      </c>
      <c r="X19" s="10">
        <v>1.9</v>
      </c>
      <c r="Y19" s="10">
        <v>1.99</v>
      </c>
      <c r="Z19" s="1">
        <v>0</v>
      </c>
      <c r="AA19" s="1">
        <v>0</v>
      </c>
      <c r="AB19" s="1">
        <v>322</v>
      </c>
      <c r="AC19" s="1">
        <v>391</v>
      </c>
    </row>
    <row r="20" spans="1:29">
      <c r="A20" s="1">
        <v>19</v>
      </c>
      <c r="B20" s="1" t="s">
        <v>40</v>
      </c>
      <c r="C20" s="1">
        <v>1469.4733483116</v>
      </c>
      <c r="D20" s="1">
        <v>346</v>
      </c>
      <c r="I20">
        <v>1.51882039010524</v>
      </c>
      <c r="J20">
        <v>2.00842510163784</v>
      </c>
      <c r="K20">
        <v>0.538522243499755</v>
      </c>
      <c r="L20">
        <v>35.1531453132629</v>
      </c>
      <c r="M20">
        <v>1.95000052452087</v>
      </c>
      <c r="N20" s="1">
        <v>346</v>
      </c>
      <c r="O20" s="1">
        <v>17</v>
      </c>
      <c r="P20" s="7">
        <v>6</v>
      </c>
      <c r="Q20" s="7">
        <v>2.7</v>
      </c>
      <c r="R20" s="10">
        <v>2.04</v>
      </c>
      <c r="S20" s="10">
        <v>2.18</v>
      </c>
      <c r="T20" s="10">
        <v>0.31</v>
      </c>
      <c r="U20" s="10">
        <v>0.29</v>
      </c>
      <c r="V20" s="7">
        <v>36.4</v>
      </c>
      <c r="W20" s="7">
        <v>31.3</v>
      </c>
      <c r="X20" s="10">
        <v>1.95</v>
      </c>
      <c r="Y20" s="10">
        <v>1.96</v>
      </c>
      <c r="Z20" s="1">
        <v>0</v>
      </c>
      <c r="AA20" s="1">
        <v>0</v>
      </c>
      <c r="AB20" s="1">
        <v>373</v>
      </c>
      <c r="AC20" s="1">
        <v>340</v>
      </c>
    </row>
    <row r="21" spans="1:29">
      <c r="A21" s="1">
        <v>20</v>
      </c>
      <c r="B21" s="1" t="s">
        <v>41</v>
      </c>
      <c r="C21" s="1">
        <v>2534.31095341063</v>
      </c>
      <c r="D21" s="1">
        <v>372</v>
      </c>
      <c r="I21">
        <v>6.95571416616439</v>
      </c>
      <c r="J21">
        <v>2.07991284132003</v>
      </c>
      <c r="K21">
        <v>0.277824237942695</v>
      </c>
      <c r="L21">
        <v>33.0629353225231</v>
      </c>
      <c r="M21">
        <v>1.96707564592361</v>
      </c>
      <c r="N21" s="1">
        <v>372</v>
      </c>
      <c r="O21" s="1">
        <v>18</v>
      </c>
      <c r="P21" s="7">
        <v>7.2</v>
      </c>
      <c r="Q21" s="7">
        <v>5.5</v>
      </c>
      <c r="R21" s="10">
        <v>2.02</v>
      </c>
      <c r="S21" s="10">
        <v>2.01</v>
      </c>
      <c r="T21" s="10">
        <v>0.36</v>
      </c>
      <c r="U21" s="10">
        <v>0.16</v>
      </c>
      <c r="V21" s="7">
        <v>33.3</v>
      </c>
      <c r="W21" s="7">
        <v>39.6</v>
      </c>
      <c r="X21" s="10">
        <v>1.85</v>
      </c>
      <c r="Y21" s="10">
        <v>1.88</v>
      </c>
      <c r="Z21" s="1">
        <v>0</v>
      </c>
      <c r="AA21" s="1">
        <v>0</v>
      </c>
      <c r="AB21" s="1">
        <v>365</v>
      </c>
      <c r="AC21" s="1">
        <v>367</v>
      </c>
    </row>
    <row r="22" spans="1:29">
      <c r="A22" s="1">
        <v>21</v>
      </c>
      <c r="B22" s="1" t="s">
        <v>42</v>
      </c>
      <c r="C22" s="1">
        <v>3774.87175955516</v>
      </c>
      <c r="D22" s="1">
        <v>384</v>
      </c>
      <c r="I22">
        <v>6.70409752378135</v>
      </c>
      <c r="J22">
        <v>2.04252753313593</v>
      </c>
      <c r="K22">
        <v>0.106425626392389</v>
      </c>
      <c r="L22">
        <v>34.3008242528093</v>
      </c>
      <c r="M22">
        <v>1.96386584790099</v>
      </c>
      <c r="N22" s="1">
        <v>384</v>
      </c>
      <c r="O22" s="1">
        <v>19</v>
      </c>
      <c r="P22" s="7">
        <v>7.3</v>
      </c>
      <c r="Q22" s="7">
        <v>1.5</v>
      </c>
      <c r="R22" s="10">
        <v>2.03</v>
      </c>
      <c r="S22" s="10">
        <v>2.01</v>
      </c>
      <c r="T22" s="10">
        <v>0.42</v>
      </c>
      <c r="U22" s="10">
        <v>0.54</v>
      </c>
      <c r="V22" s="7">
        <v>34.9</v>
      </c>
      <c r="W22" s="7">
        <v>35.2</v>
      </c>
      <c r="X22" s="10">
        <v>1.88</v>
      </c>
      <c r="Y22" s="10">
        <v>1.95</v>
      </c>
      <c r="Z22" s="1">
        <v>0</v>
      </c>
      <c r="AA22" s="1">
        <v>0</v>
      </c>
      <c r="AB22" s="1">
        <v>360</v>
      </c>
      <c r="AC22" s="1">
        <v>346</v>
      </c>
    </row>
    <row r="23" spans="1:29">
      <c r="A23" s="1">
        <v>22</v>
      </c>
      <c r="B23" s="1" t="s">
        <v>43</v>
      </c>
      <c r="C23" s="1">
        <v>2408.38938978627</v>
      </c>
      <c r="D23" s="1">
        <v>386</v>
      </c>
      <c r="I23">
        <v>6.71203277408284</v>
      </c>
      <c r="J23">
        <v>2.03388157263283</v>
      </c>
      <c r="K23">
        <v>0.258804438099573</v>
      </c>
      <c r="L23">
        <v>32.7767688612159</v>
      </c>
      <c r="M23">
        <v>1.97270435517144</v>
      </c>
      <c r="N23" s="1">
        <v>386</v>
      </c>
      <c r="O23" s="1">
        <v>20</v>
      </c>
      <c r="P23" s="7">
        <v>5.8</v>
      </c>
      <c r="Q23" s="7">
        <v>7</v>
      </c>
      <c r="R23" s="10">
        <v>2.07</v>
      </c>
      <c r="S23" s="10">
        <v>2.08</v>
      </c>
      <c r="T23" s="10">
        <v>0.22</v>
      </c>
      <c r="U23" s="10">
        <v>0.28</v>
      </c>
      <c r="V23" s="7">
        <v>35</v>
      </c>
      <c r="W23" s="7">
        <v>33.1</v>
      </c>
      <c r="X23" s="10">
        <v>1.85</v>
      </c>
      <c r="Y23" s="10">
        <v>1.97</v>
      </c>
      <c r="Z23" s="1">
        <v>0</v>
      </c>
      <c r="AA23" s="1">
        <v>0</v>
      </c>
      <c r="AB23" s="1">
        <v>351</v>
      </c>
      <c r="AC23" s="1">
        <v>372</v>
      </c>
    </row>
    <row r="24" spans="1:29">
      <c r="A24" s="1">
        <v>23</v>
      </c>
      <c r="B24" s="1" t="s">
        <v>44</v>
      </c>
      <c r="C24" s="1">
        <v>1934.29920934972</v>
      </c>
      <c r="D24" s="1">
        <v>363</v>
      </c>
      <c r="I24">
        <v>2.18188560692986</v>
      </c>
      <c r="J24">
        <v>2.06785056399252</v>
      </c>
      <c r="K24">
        <v>0.520927784022926</v>
      </c>
      <c r="L24">
        <v>30.8058725031529</v>
      </c>
      <c r="M24">
        <v>1.98703860887326</v>
      </c>
      <c r="N24" s="1">
        <v>363</v>
      </c>
      <c r="O24" s="1">
        <v>21</v>
      </c>
      <c r="P24" s="7">
        <v>7.7</v>
      </c>
      <c r="Q24" s="7">
        <v>6.7</v>
      </c>
      <c r="R24" s="10">
        <v>2.08</v>
      </c>
      <c r="S24" s="10">
        <v>2.04</v>
      </c>
      <c r="T24" s="10">
        <v>0.45</v>
      </c>
      <c r="U24" s="10">
        <v>0.11</v>
      </c>
      <c r="V24" s="7">
        <v>34.6</v>
      </c>
      <c r="W24" s="7">
        <v>34.3</v>
      </c>
      <c r="X24" s="10">
        <v>1.85</v>
      </c>
      <c r="Y24" s="10">
        <v>1.96</v>
      </c>
      <c r="Z24" s="1">
        <v>0</v>
      </c>
      <c r="AA24" s="1">
        <v>0</v>
      </c>
      <c r="AB24" s="1">
        <v>339</v>
      </c>
      <c r="AC24" s="1">
        <v>384</v>
      </c>
    </row>
    <row r="25" spans="1:29">
      <c r="A25" s="1">
        <v>24</v>
      </c>
      <c r="B25" s="1" t="s">
        <v>45</v>
      </c>
      <c r="C25" s="1">
        <v>3021.52523703928</v>
      </c>
      <c r="D25" s="1">
        <v>379</v>
      </c>
      <c r="I25">
        <v>3.85083416126857</v>
      </c>
      <c r="J25">
        <v>2.05861041552365</v>
      </c>
      <c r="K25">
        <v>0.136960573643013</v>
      </c>
      <c r="L25">
        <v>32.053851652185</v>
      </c>
      <c r="M25">
        <v>1.95217873893018</v>
      </c>
      <c r="N25" s="1">
        <v>379</v>
      </c>
      <c r="O25" s="1">
        <v>22</v>
      </c>
      <c r="P25" s="7">
        <v>5.2</v>
      </c>
      <c r="Q25" s="7">
        <v>6.7</v>
      </c>
      <c r="R25" s="10">
        <v>2.04</v>
      </c>
      <c r="S25" s="10">
        <v>2.03</v>
      </c>
      <c r="T25" s="10">
        <v>0.28</v>
      </c>
      <c r="U25" s="10">
        <v>0.26</v>
      </c>
      <c r="V25" s="7">
        <v>35.9</v>
      </c>
      <c r="W25" s="7">
        <v>32.8</v>
      </c>
      <c r="X25" s="10">
        <v>1.83</v>
      </c>
      <c r="Y25" s="10">
        <v>1.97</v>
      </c>
      <c r="Z25" s="1">
        <v>0</v>
      </c>
      <c r="AA25" s="1">
        <v>0</v>
      </c>
      <c r="AB25" s="1">
        <v>354</v>
      </c>
      <c r="AC25" s="1">
        <v>386</v>
      </c>
    </row>
    <row r="26" spans="1:29">
      <c r="A26" s="1">
        <v>25</v>
      </c>
      <c r="B26" s="1" t="s">
        <v>46</v>
      </c>
      <c r="C26" s="1">
        <v>2792.4845551875</v>
      </c>
      <c r="D26" s="1">
        <v>373</v>
      </c>
      <c r="I26">
        <v>4.54967746001509</v>
      </c>
      <c r="J26">
        <v>2.02565014840438</v>
      </c>
      <c r="K26">
        <v>0.280386372583916</v>
      </c>
      <c r="L26">
        <v>39.8954609459734</v>
      </c>
      <c r="M26">
        <v>1.97241218330503</v>
      </c>
      <c r="N26" s="1">
        <v>373</v>
      </c>
      <c r="O26" s="1">
        <v>23</v>
      </c>
      <c r="P26" s="7">
        <v>7.2</v>
      </c>
      <c r="Q26" s="7">
        <v>2.2</v>
      </c>
      <c r="R26" s="10">
        <v>2.05</v>
      </c>
      <c r="S26" s="10">
        <v>2.07</v>
      </c>
      <c r="T26" s="10">
        <v>0.23</v>
      </c>
      <c r="U26" s="10">
        <v>0.52</v>
      </c>
      <c r="V26" s="7">
        <v>35.8</v>
      </c>
      <c r="W26" s="7">
        <v>30.8</v>
      </c>
      <c r="X26" s="10">
        <v>1.86</v>
      </c>
      <c r="Y26" s="10">
        <v>1.99</v>
      </c>
      <c r="Z26" s="1">
        <v>0</v>
      </c>
      <c r="AA26" s="1">
        <v>0</v>
      </c>
      <c r="AB26" s="1">
        <v>357</v>
      </c>
      <c r="AC26" s="1">
        <v>363</v>
      </c>
    </row>
    <row r="27" spans="1:29">
      <c r="A27" s="1">
        <v>26</v>
      </c>
      <c r="B27" s="1" t="s">
        <v>47</v>
      </c>
      <c r="C27" s="1">
        <v>3603.0854191351</v>
      </c>
      <c r="D27" s="1">
        <v>387</v>
      </c>
      <c r="I27">
        <v>6.07529372875108</v>
      </c>
      <c r="J27">
        <v>2.00009392620995</v>
      </c>
      <c r="K27">
        <v>0.254173028886588</v>
      </c>
      <c r="L27">
        <v>33.4531630089541</v>
      </c>
      <c r="M27">
        <v>1.92684211066442</v>
      </c>
      <c r="N27" s="1">
        <v>387</v>
      </c>
      <c r="O27" s="1">
        <v>24</v>
      </c>
      <c r="P27" s="7">
        <v>4.1</v>
      </c>
      <c r="Q27" s="7">
        <v>3.9</v>
      </c>
      <c r="R27" s="10">
        <v>2.05</v>
      </c>
      <c r="S27" s="10">
        <v>2.06</v>
      </c>
      <c r="T27" s="10">
        <v>0.35</v>
      </c>
      <c r="U27" s="10">
        <v>0.14</v>
      </c>
      <c r="V27" s="7">
        <v>35.2</v>
      </c>
      <c r="W27" s="7">
        <v>32.1</v>
      </c>
      <c r="X27" s="10">
        <v>1.9</v>
      </c>
      <c r="Y27" s="10">
        <v>1.95</v>
      </c>
      <c r="Z27" s="1">
        <v>0</v>
      </c>
      <c r="AA27" s="1">
        <v>0</v>
      </c>
      <c r="AB27" s="1">
        <v>364</v>
      </c>
      <c r="AC27" s="1">
        <v>379</v>
      </c>
    </row>
    <row r="28" spans="1:29">
      <c r="A28" s="1">
        <v>27</v>
      </c>
      <c r="B28" s="1" t="s">
        <v>48</v>
      </c>
      <c r="C28" s="1">
        <v>3222.62251952873</v>
      </c>
      <c r="D28" s="1">
        <v>344</v>
      </c>
      <c r="I28">
        <v>9.46934043895453</v>
      </c>
      <c r="J28">
        <v>2.03880691947415</v>
      </c>
      <c r="K28">
        <v>0.940474266652017</v>
      </c>
      <c r="L28">
        <v>33.2243248727172</v>
      </c>
      <c r="M28">
        <v>1.84297550632618</v>
      </c>
      <c r="N28" s="1">
        <v>344</v>
      </c>
      <c r="O28" s="1">
        <v>25</v>
      </c>
      <c r="P28" s="7">
        <v>7.5</v>
      </c>
      <c r="Q28" s="7">
        <v>4.5</v>
      </c>
      <c r="R28" s="10">
        <v>2.08</v>
      </c>
      <c r="S28" s="10">
        <v>2.03</v>
      </c>
      <c r="T28" s="10">
        <v>0.41</v>
      </c>
      <c r="U28" s="10">
        <v>0.28</v>
      </c>
      <c r="V28" s="7">
        <v>35</v>
      </c>
      <c r="W28" s="7">
        <v>39.9</v>
      </c>
      <c r="X28" s="10">
        <v>1.91</v>
      </c>
      <c r="Y28" s="10">
        <v>1.97</v>
      </c>
      <c r="Z28" s="1">
        <v>0</v>
      </c>
      <c r="AA28" s="1">
        <v>0</v>
      </c>
      <c r="AB28" s="1">
        <v>353</v>
      </c>
      <c r="AC28" s="1">
        <v>373</v>
      </c>
    </row>
    <row r="29" spans="1:29">
      <c r="A29" s="1">
        <v>28</v>
      </c>
      <c r="B29" s="1" t="s">
        <v>49</v>
      </c>
      <c r="C29" s="1">
        <v>1018.22402172889</v>
      </c>
      <c r="D29" s="1">
        <v>378</v>
      </c>
      <c r="I29">
        <v>6.05469745601048</v>
      </c>
      <c r="J29">
        <v>2.04707375598192</v>
      </c>
      <c r="K29">
        <v>0.59454996251084</v>
      </c>
      <c r="L29">
        <v>30.8873270517377</v>
      </c>
      <c r="M29">
        <v>1.9474035201898</v>
      </c>
      <c r="N29" s="1">
        <v>378</v>
      </c>
      <c r="O29" s="1">
        <v>26</v>
      </c>
      <c r="P29" s="7">
        <v>5</v>
      </c>
      <c r="Q29" s="7">
        <v>6.1</v>
      </c>
      <c r="R29" s="10">
        <v>2.09</v>
      </c>
      <c r="S29" s="10">
        <v>2</v>
      </c>
      <c r="T29" s="10">
        <v>0.55</v>
      </c>
      <c r="U29" s="10">
        <v>0.25</v>
      </c>
      <c r="V29" s="7">
        <v>34.1</v>
      </c>
      <c r="W29" s="7">
        <v>33.5</v>
      </c>
      <c r="X29" s="10">
        <v>1.88</v>
      </c>
      <c r="Y29" s="10">
        <v>1.93</v>
      </c>
      <c r="Z29" s="1">
        <v>0</v>
      </c>
      <c r="AA29" s="1">
        <v>0</v>
      </c>
      <c r="AB29" s="1">
        <v>348</v>
      </c>
      <c r="AC29" s="1">
        <v>387</v>
      </c>
    </row>
    <row r="30" spans="1:29">
      <c r="A30" s="1">
        <v>29</v>
      </c>
      <c r="B30" s="1" t="s">
        <v>50</v>
      </c>
      <c r="C30" s="1">
        <v>3562.39016863007</v>
      </c>
      <c r="D30" s="1">
        <v>300</v>
      </c>
      <c r="I30">
        <v>14.1025312788515</v>
      </c>
      <c r="J30">
        <v>2.15154218297707</v>
      </c>
      <c r="K30">
        <v>0.571003128966075</v>
      </c>
      <c r="L30">
        <v>31.7537477945692</v>
      </c>
      <c r="M30">
        <v>1.99677273910492</v>
      </c>
      <c r="N30" s="1">
        <v>300</v>
      </c>
      <c r="O30" s="1">
        <v>27</v>
      </c>
      <c r="P30" s="7">
        <v>4.8</v>
      </c>
      <c r="Q30" s="7">
        <v>9.5</v>
      </c>
      <c r="R30" s="10">
        <v>2.12</v>
      </c>
      <c r="S30" s="10">
        <v>2.04</v>
      </c>
      <c r="T30" s="10">
        <v>0.24</v>
      </c>
      <c r="U30" s="10">
        <v>0.94</v>
      </c>
      <c r="V30" s="7">
        <v>35.8</v>
      </c>
      <c r="W30" s="7">
        <v>33.2</v>
      </c>
      <c r="X30" s="10">
        <v>1.91</v>
      </c>
      <c r="Y30" s="10">
        <v>1.84</v>
      </c>
      <c r="Z30" s="1">
        <v>0</v>
      </c>
      <c r="AA30" s="1">
        <v>0</v>
      </c>
      <c r="AB30" s="1">
        <v>347</v>
      </c>
      <c r="AC30" s="1">
        <v>344</v>
      </c>
    </row>
    <row r="31" spans="1:29">
      <c r="A31" s="1">
        <v>30</v>
      </c>
      <c r="B31" s="1" t="s">
        <v>51</v>
      </c>
      <c r="C31" s="1">
        <v>3713.75142764245</v>
      </c>
      <c r="D31" s="1">
        <v>378</v>
      </c>
      <c r="I31">
        <v>3.84519703081833</v>
      </c>
      <c r="J31">
        <v>2.05015066108919</v>
      </c>
      <c r="K31">
        <v>0.466889493140567</v>
      </c>
      <c r="L31">
        <v>31.4071988634563</v>
      </c>
      <c r="M31">
        <v>1.95382285432848</v>
      </c>
      <c r="N31" s="1">
        <v>378</v>
      </c>
      <c r="O31" s="1">
        <v>28</v>
      </c>
      <c r="P31" s="7">
        <v>6.2</v>
      </c>
      <c r="Q31" s="7">
        <v>6.1</v>
      </c>
      <c r="R31" s="10">
        <v>2.07</v>
      </c>
      <c r="S31" s="10">
        <v>2.05</v>
      </c>
      <c r="T31" s="10">
        <v>0.38</v>
      </c>
      <c r="U31" s="10">
        <v>0.59</v>
      </c>
      <c r="V31" s="7">
        <v>33.2</v>
      </c>
      <c r="W31" s="7">
        <v>30.9</v>
      </c>
      <c r="X31" s="10">
        <v>1.89</v>
      </c>
      <c r="Y31" s="10">
        <v>1.95</v>
      </c>
      <c r="Z31" s="1">
        <v>0</v>
      </c>
      <c r="AA31" s="1">
        <v>0</v>
      </c>
      <c r="AB31" s="1">
        <v>359</v>
      </c>
      <c r="AC31" s="1">
        <v>378</v>
      </c>
    </row>
    <row r="32" spans="2:29">
      <c r="B32" s="2" t="s">
        <v>52</v>
      </c>
      <c r="C32" s="2" t="s">
        <v>53</v>
      </c>
      <c r="O32" s="1">
        <v>29</v>
      </c>
      <c r="P32" s="7">
        <v>9</v>
      </c>
      <c r="Q32" s="7">
        <v>14.1</v>
      </c>
      <c r="R32" s="10">
        <v>2.02</v>
      </c>
      <c r="S32" s="10">
        <v>2.15</v>
      </c>
      <c r="T32" s="10">
        <v>0.08</v>
      </c>
      <c r="U32" s="10">
        <v>0.57</v>
      </c>
      <c r="V32" s="7">
        <v>35.8</v>
      </c>
      <c r="W32" s="7">
        <v>31.8</v>
      </c>
      <c r="X32" s="10">
        <v>1.89</v>
      </c>
      <c r="Y32" s="10">
        <v>2</v>
      </c>
      <c r="Z32" s="1">
        <v>0</v>
      </c>
      <c r="AA32" s="1">
        <v>1</v>
      </c>
      <c r="AB32" s="1">
        <v>377</v>
      </c>
      <c r="AC32" s="1">
        <v>300</v>
      </c>
    </row>
    <row r="33" spans="1:29">
      <c r="A33" s="1">
        <v>1</v>
      </c>
      <c r="B33" s="1" t="s">
        <v>54</v>
      </c>
      <c r="C33" s="1">
        <v>7818.50298110628</v>
      </c>
      <c r="D33" s="1">
        <v>333</v>
      </c>
      <c r="I33">
        <v>4.60394235406228</v>
      </c>
      <c r="J33">
        <v>2.11538678354439</v>
      </c>
      <c r="K33">
        <v>0.381355743026605</v>
      </c>
      <c r="L33">
        <v>32.5673504680491</v>
      </c>
      <c r="M33">
        <v>1.80530966426487</v>
      </c>
      <c r="N33" s="1">
        <v>333</v>
      </c>
      <c r="O33" s="1">
        <v>30</v>
      </c>
      <c r="P33" s="7">
        <v>4.9</v>
      </c>
      <c r="Q33" s="7">
        <v>3.8</v>
      </c>
      <c r="R33" s="10">
        <v>2.17</v>
      </c>
      <c r="S33" s="10">
        <v>2.05</v>
      </c>
      <c r="T33" s="10">
        <v>0.12</v>
      </c>
      <c r="U33" s="10">
        <v>0.47</v>
      </c>
      <c r="V33" s="7">
        <v>36.6</v>
      </c>
      <c r="W33" s="7">
        <v>31.4</v>
      </c>
      <c r="X33" s="10">
        <v>1.94</v>
      </c>
      <c r="Y33" s="10">
        <v>1.95</v>
      </c>
      <c r="Z33" s="1">
        <v>0</v>
      </c>
      <c r="AA33" s="1">
        <v>0</v>
      </c>
      <c r="AB33" s="1">
        <v>340</v>
      </c>
      <c r="AC33" s="1">
        <v>378</v>
      </c>
    </row>
    <row r="34" spans="1:29">
      <c r="A34" s="1">
        <v>2</v>
      </c>
      <c r="B34" s="1" t="s">
        <v>55</v>
      </c>
      <c r="C34" s="1">
        <v>5082.75512959084</v>
      </c>
      <c r="D34" s="1">
        <v>354</v>
      </c>
      <c r="I34">
        <v>4.1469956189394</v>
      </c>
      <c r="J34">
        <v>2.06575515866279</v>
      </c>
      <c r="K34">
        <v>0.296595230698585</v>
      </c>
      <c r="L34">
        <v>37.107027053833</v>
      </c>
      <c r="M34">
        <v>1.89521320164203</v>
      </c>
      <c r="N34" s="1">
        <v>354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7">
      <c r="A35" s="1">
        <v>3</v>
      </c>
      <c r="B35" s="1" t="s">
        <v>56</v>
      </c>
      <c r="C35" s="1">
        <v>8076.14224830863</v>
      </c>
      <c r="D35" s="1">
        <v>336</v>
      </c>
      <c r="I35">
        <v>6.46670901765293</v>
      </c>
      <c r="J35">
        <v>2.10528893360784</v>
      </c>
      <c r="K35">
        <v>0.316357600912151</v>
      </c>
      <c r="L35">
        <v>38.0934172987297</v>
      </c>
      <c r="M35">
        <v>1.88616883520525</v>
      </c>
      <c r="N35" s="1">
        <v>336</v>
      </c>
      <c r="O35" s="8" t="s">
        <v>57</v>
      </c>
      <c r="P35" s="8" t="s">
        <v>58</v>
      </c>
      <c r="Q35" s="8"/>
      <c r="R35" s="8" t="s">
        <v>20</v>
      </c>
      <c r="S35" s="8"/>
      <c r="T35" s="8" t="s">
        <v>7</v>
      </c>
      <c r="U35" s="8"/>
      <c r="V35" s="8" t="s">
        <v>17</v>
      </c>
      <c r="W35" s="8"/>
      <c r="X35" s="8" t="s">
        <v>24</v>
      </c>
      <c r="Y35" s="8"/>
      <c r="Z35" s="8" t="s">
        <v>26</v>
      </c>
      <c r="AA35" s="8"/>
    </row>
    <row r="36" spans="1:27">
      <c r="A36" s="1">
        <v>4</v>
      </c>
      <c r="B36" s="1" t="s">
        <v>59</v>
      </c>
      <c r="C36" s="1">
        <v>4940.02644990085</v>
      </c>
      <c r="D36" s="1">
        <v>358</v>
      </c>
      <c r="I36">
        <v>6.45592882238624</v>
      </c>
      <c r="J36">
        <v>2.08218336504606</v>
      </c>
      <c r="K36">
        <v>0.402816363760679</v>
      </c>
      <c r="L36">
        <v>31.6310734679405</v>
      </c>
      <c r="M36">
        <v>1.8866263939999</v>
      </c>
      <c r="N36" s="1">
        <v>358</v>
      </c>
      <c r="O36" s="8"/>
      <c r="P36" s="8" t="s">
        <v>60</v>
      </c>
      <c r="Q36" s="8" t="s">
        <v>29</v>
      </c>
      <c r="R36" s="8" t="s">
        <v>60</v>
      </c>
      <c r="S36" s="8" t="s">
        <v>29</v>
      </c>
      <c r="T36" s="8" t="s">
        <v>60</v>
      </c>
      <c r="U36" s="8" t="s">
        <v>29</v>
      </c>
      <c r="V36" s="8" t="s">
        <v>60</v>
      </c>
      <c r="W36" s="8" t="s">
        <v>29</v>
      </c>
      <c r="X36" s="8" t="s">
        <v>60</v>
      </c>
      <c r="Y36" s="8" t="s">
        <v>29</v>
      </c>
      <c r="Z36" s="8" t="s">
        <v>60</v>
      </c>
      <c r="AA36" s="8" t="s">
        <v>29</v>
      </c>
    </row>
    <row r="37" spans="1:27">
      <c r="A37" s="1">
        <v>5</v>
      </c>
      <c r="B37" s="1" t="s">
        <v>61</v>
      </c>
      <c r="C37" s="1">
        <v>5908.30928401878</v>
      </c>
      <c r="D37" s="1">
        <v>352</v>
      </c>
      <c r="I37">
        <v>7.32146105170249</v>
      </c>
      <c r="J37">
        <v>2.08922165632247</v>
      </c>
      <c r="K37">
        <v>0.186473920941352</v>
      </c>
      <c r="L37">
        <v>36.9522122144699</v>
      </c>
      <c r="M37">
        <v>1.90375344455242</v>
      </c>
      <c r="N37" s="1">
        <v>352</v>
      </c>
      <c r="O37" s="8" t="s">
        <v>5</v>
      </c>
      <c r="P37" s="9">
        <v>351.87</v>
      </c>
      <c r="Q37" s="9">
        <v>5784.58</v>
      </c>
      <c r="R37" s="9">
        <v>353.5</v>
      </c>
      <c r="S37" s="9">
        <v>5342.49</v>
      </c>
      <c r="T37" s="9">
        <v>377</v>
      </c>
      <c r="U37" s="9">
        <v>9498.79</v>
      </c>
      <c r="V37" s="9">
        <v>320</v>
      </c>
      <c r="W37" s="9">
        <v>2690.94</v>
      </c>
      <c r="X37" s="9">
        <v>347</v>
      </c>
      <c r="Y37" s="9">
        <v>4459.98</v>
      </c>
      <c r="Z37" s="9">
        <v>359</v>
      </c>
      <c r="AA37" s="9">
        <v>7648.59</v>
      </c>
    </row>
    <row r="38" spans="1:27">
      <c r="A38" s="1">
        <v>6</v>
      </c>
      <c r="B38" s="1" t="s">
        <v>62</v>
      </c>
      <c r="C38" s="1">
        <v>7752.61966273685</v>
      </c>
      <c r="D38" s="1">
        <v>341</v>
      </c>
      <c r="I38">
        <v>7.15828203560691</v>
      </c>
      <c r="J38">
        <v>2.09984455780872</v>
      </c>
      <c r="K38">
        <v>0.190051543511534</v>
      </c>
      <c r="L38">
        <v>35.1774962174204</v>
      </c>
      <c r="M38">
        <v>1.84635802660586</v>
      </c>
      <c r="N38" s="1">
        <v>341</v>
      </c>
      <c r="O38" s="8" t="s">
        <v>18</v>
      </c>
      <c r="P38" s="9">
        <v>365.83</v>
      </c>
      <c r="Q38" s="9">
        <v>2930.53</v>
      </c>
      <c r="R38" s="9">
        <v>371.5</v>
      </c>
      <c r="S38" s="9">
        <v>3013.73</v>
      </c>
      <c r="T38" s="9">
        <v>392</v>
      </c>
      <c r="U38" s="9">
        <v>6720.97</v>
      </c>
      <c r="V38" s="9">
        <v>300</v>
      </c>
      <c r="W38" s="9">
        <v>1018.22</v>
      </c>
      <c r="X38" s="9">
        <v>350</v>
      </c>
      <c r="Y38" s="9">
        <v>2160.4</v>
      </c>
      <c r="Z38" s="9">
        <v>383</v>
      </c>
      <c r="AA38" s="9">
        <v>3456.65</v>
      </c>
    </row>
    <row r="39" spans="1:14">
      <c r="A39" s="1">
        <v>7</v>
      </c>
      <c r="B39" s="1" t="s">
        <v>63</v>
      </c>
      <c r="C39" s="1">
        <v>4533.85414790977</v>
      </c>
      <c r="D39" s="1">
        <v>349</v>
      </c>
      <c r="I39">
        <v>6.64324669597038</v>
      </c>
      <c r="J39">
        <v>2.07664812617224</v>
      </c>
      <c r="K39">
        <v>0.493315686041266</v>
      </c>
      <c r="L39">
        <v>34.8420808081435</v>
      </c>
      <c r="M39">
        <v>1.88889869017052</v>
      </c>
      <c r="N39" s="1">
        <v>349</v>
      </c>
    </row>
    <row r="40" spans="1:14">
      <c r="A40" s="1">
        <v>8</v>
      </c>
      <c r="B40" s="1" t="s">
        <v>64</v>
      </c>
      <c r="C40" s="1">
        <v>9498.79011829323</v>
      </c>
      <c r="D40" s="1">
        <v>360</v>
      </c>
      <c r="I40">
        <v>4.37925313896871</v>
      </c>
      <c r="J40">
        <v>2.07383721165376</v>
      </c>
      <c r="K40">
        <v>0.555069757468737</v>
      </c>
      <c r="L40">
        <v>30.498906061199</v>
      </c>
      <c r="M40">
        <v>1.8676137349686</v>
      </c>
      <c r="N40" s="1">
        <v>360</v>
      </c>
    </row>
    <row r="41" spans="1:14">
      <c r="A41" s="1">
        <v>9</v>
      </c>
      <c r="B41" s="1" t="s">
        <v>65</v>
      </c>
      <c r="C41" s="1">
        <v>5735.32585756465</v>
      </c>
      <c r="D41" s="1">
        <v>347</v>
      </c>
      <c r="I41">
        <v>4.78035062360847</v>
      </c>
      <c r="J41">
        <v>2.14051839704353</v>
      </c>
      <c r="K41">
        <v>0.0299080926924943</v>
      </c>
      <c r="L41">
        <v>33.5868771582417</v>
      </c>
      <c r="M41">
        <v>1.87750720952111</v>
      </c>
      <c r="N41" s="1">
        <v>347</v>
      </c>
    </row>
    <row r="42" spans="1:14">
      <c r="A42" s="1">
        <v>10</v>
      </c>
      <c r="B42" s="1" t="s">
        <v>66</v>
      </c>
      <c r="C42" s="1">
        <v>4437.36802637899</v>
      </c>
      <c r="D42" s="1">
        <v>357</v>
      </c>
      <c r="I42">
        <v>5.60091364525576</v>
      </c>
      <c r="J42">
        <v>2.05526915825311</v>
      </c>
      <c r="K42">
        <v>0.312370578269556</v>
      </c>
      <c r="L42">
        <v>34.453273919059</v>
      </c>
      <c r="M42">
        <v>1.86164798030833</v>
      </c>
      <c r="N42" s="1">
        <v>357</v>
      </c>
    </row>
    <row r="43" spans="1:14">
      <c r="A43" s="1">
        <v>11</v>
      </c>
      <c r="B43" s="1" t="s">
        <v>67</v>
      </c>
      <c r="C43" s="1">
        <v>3254.22410187206</v>
      </c>
      <c r="D43" s="1">
        <v>358</v>
      </c>
      <c r="I43">
        <v>2.29040533769875</v>
      </c>
      <c r="J43">
        <v>2.03820081218145</v>
      </c>
      <c r="K43">
        <v>0.048423383384943</v>
      </c>
      <c r="L43">
        <v>32.831732193008</v>
      </c>
      <c r="M43">
        <v>1.87567288731224</v>
      </c>
      <c r="N43" s="1">
        <v>358</v>
      </c>
    </row>
    <row r="44" spans="1:14">
      <c r="A44" s="1">
        <v>12</v>
      </c>
      <c r="B44" s="1" t="s">
        <v>68</v>
      </c>
      <c r="C44" s="1">
        <v>2690.93560019959</v>
      </c>
      <c r="D44" s="1">
        <v>359</v>
      </c>
      <c r="I44">
        <v>7.01858280599117</v>
      </c>
      <c r="J44">
        <v>2.06820054352283</v>
      </c>
      <c r="K44">
        <v>0.343648418784141</v>
      </c>
      <c r="L44">
        <v>32.9767768234014</v>
      </c>
      <c r="M44">
        <v>1.88796091079711</v>
      </c>
      <c r="N44" s="1">
        <v>359</v>
      </c>
    </row>
    <row r="45" spans="1:14">
      <c r="A45" s="1">
        <v>13</v>
      </c>
      <c r="B45" s="1" t="s">
        <v>69</v>
      </c>
      <c r="C45" s="1">
        <v>8846.00678695265</v>
      </c>
      <c r="D45" s="1">
        <v>320</v>
      </c>
      <c r="I45">
        <v>7.3970154643977</v>
      </c>
      <c r="J45">
        <v>2.13177777883454</v>
      </c>
      <c r="K45">
        <v>0.514391449074706</v>
      </c>
      <c r="L45">
        <v>31.8667222406096</v>
      </c>
      <c r="M45">
        <v>1.79447218621019</v>
      </c>
      <c r="N45" s="1">
        <v>320</v>
      </c>
    </row>
    <row r="46" spans="1:14">
      <c r="A46" s="1">
        <v>14</v>
      </c>
      <c r="B46" s="1" t="s">
        <v>70</v>
      </c>
      <c r="C46" s="1">
        <v>5514.2328771899</v>
      </c>
      <c r="D46" s="1">
        <v>374</v>
      </c>
      <c r="I46">
        <v>5.09937742658061</v>
      </c>
      <c r="J46">
        <v>2.05528940886935</v>
      </c>
      <c r="K46">
        <v>0.298515809268834</v>
      </c>
      <c r="L46">
        <v>35.8235476651691</v>
      </c>
      <c r="M46">
        <v>1.97580190266806</v>
      </c>
      <c r="N46" s="1">
        <v>374</v>
      </c>
    </row>
    <row r="47" spans="1:14">
      <c r="A47" s="1">
        <v>15</v>
      </c>
      <c r="B47" s="1" t="s">
        <v>71</v>
      </c>
      <c r="C47" s="1">
        <v>6061.7713071982</v>
      </c>
      <c r="D47" s="1">
        <v>349</v>
      </c>
      <c r="I47">
        <v>6.97014151417797</v>
      </c>
      <c r="J47">
        <v>2.07505570896102</v>
      </c>
      <c r="K47">
        <v>0.313114711873495</v>
      </c>
      <c r="L47">
        <v>36.5359758640977</v>
      </c>
      <c r="M47">
        <v>1.88733672335025</v>
      </c>
      <c r="N47" s="1">
        <v>349</v>
      </c>
    </row>
    <row r="48" spans="1:14">
      <c r="A48" s="1">
        <v>16</v>
      </c>
      <c r="B48" s="1" t="s">
        <v>72</v>
      </c>
      <c r="C48" s="1">
        <v>9331.98867224216</v>
      </c>
      <c r="D48" s="1">
        <v>322</v>
      </c>
      <c r="I48">
        <v>5.20971273530094</v>
      </c>
      <c r="J48">
        <v>2.21518007269978</v>
      </c>
      <c r="K48">
        <v>0.391121330152845</v>
      </c>
      <c r="L48">
        <v>32.5411497141115</v>
      </c>
      <c r="M48">
        <v>1.89974448861626</v>
      </c>
      <c r="N48" s="1">
        <v>322</v>
      </c>
    </row>
    <row r="49" spans="1:14">
      <c r="A49" s="1">
        <v>17</v>
      </c>
      <c r="B49" s="1" t="s">
        <v>73</v>
      </c>
      <c r="C49" s="1">
        <v>3295.32558745291</v>
      </c>
      <c r="D49" s="1">
        <v>373</v>
      </c>
      <c r="I49">
        <v>5.99157589796638</v>
      </c>
      <c r="J49">
        <v>2.03823763622453</v>
      </c>
      <c r="K49">
        <v>0.307238119674947</v>
      </c>
      <c r="L49">
        <v>36.4342242293817</v>
      </c>
      <c r="M49">
        <v>1.94783164832798</v>
      </c>
      <c r="N49" s="1">
        <v>373</v>
      </c>
    </row>
    <row r="50" spans="1:14">
      <c r="A50" s="1">
        <v>18</v>
      </c>
      <c r="B50" s="1" t="s">
        <v>74</v>
      </c>
      <c r="C50" s="1">
        <v>5170.73989569742</v>
      </c>
      <c r="D50" s="1">
        <v>365</v>
      </c>
      <c r="I50">
        <v>7.19095178993856</v>
      </c>
      <c r="J50">
        <v>2.01524265238936</v>
      </c>
      <c r="K50">
        <v>0.359816586831584</v>
      </c>
      <c r="L50">
        <v>33.3090579426814</v>
      </c>
      <c r="M50">
        <v>1.84748141297709</v>
      </c>
      <c r="N50" s="1">
        <v>365</v>
      </c>
    </row>
    <row r="51" spans="1:14">
      <c r="A51" s="1">
        <v>19</v>
      </c>
      <c r="B51" s="1" t="s">
        <v>75</v>
      </c>
      <c r="C51" s="1">
        <v>3506.71945294582</v>
      </c>
      <c r="D51" s="1">
        <v>360</v>
      </c>
      <c r="I51">
        <v>7.31096619849527</v>
      </c>
      <c r="J51">
        <v>2.0331491354584</v>
      </c>
      <c r="K51">
        <v>0.418671545192866</v>
      </c>
      <c r="L51">
        <v>34.860356599306</v>
      </c>
      <c r="M51">
        <v>1.87914741639967</v>
      </c>
      <c r="N51" s="1">
        <v>360</v>
      </c>
    </row>
    <row r="52" spans="1:14">
      <c r="A52" s="1">
        <v>20</v>
      </c>
      <c r="B52" s="1" t="s">
        <v>76</v>
      </c>
      <c r="C52" s="1">
        <v>5018.84979511709</v>
      </c>
      <c r="D52" s="1">
        <v>351</v>
      </c>
      <c r="I52">
        <v>5.78150380776683</v>
      </c>
      <c r="J52">
        <v>2.07197143852124</v>
      </c>
      <c r="K52">
        <v>0.223487305070459</v>
      </c>
      <c r="L52">
        <v>35.029445142458</v>
      </c>
      <c r="M52">
        <v>1.84801040501667</v>
      </c>
      <c r="N52" s="1">
        <v>351</v>
      </c>
    </row>
    <row r="53" spans="1:14">
      <c r="A53" s="1">
        <v>21</v>
      </c>
      <c r="B53" s="1" t="s">
        <v>77</v>
      </c>
      <c r="C53" s="1">
        <v>7697.8588904117</v>
      </c>
      <c r="D53" s="1">
        <v>339</v>
      </c>
      <c r="I53">
        <v>7.7382181584835</v>
      </c>
      <c r="J53">
        <v>2.07938368618488</v>
      </c>
      <c r="K53">
        <v>0.44832794368267</v>
      </c>
      <c r="L53">
        <v>34.5563687235116</v>
      </c>
      <c r="M53">
        <v>1.8491988480091</v>
      </c>
      <c r="N53" s="1">
        <v>339</v>
      </c>
    </row>
    <row r="54" spans="1:14">
      <c r="A54" s="1">
        <v>22</v>
      </c>
      <c r="B54" s="1" t="s">
        <v>78</v>
      </c>
      <c r="C54" s="1">
        <v>4483.21420652842</v>
      </c>
      <c r="D54" s="1">
        <v>354</v>
      </c>
      <c r="I54">
        <v>5.17379559147439</v>
      </c>
      <c r="J54">
        <v>2.03793833194974</v>
      </c>
      <c r="K54">
        <v>0.276476038027635</v>
      </c>
      <c r="L54">
        <v>35.9166426513119</v>
      </c>
      <c r="M54">
        <v>1.83296944179498</v>
      </c>
      <c r="N54" s="1">
        <v>354</v>
      </c>
    </row>
    <row r="55" spans="1:14">
      <c r="A55" s="1">
        <v>23</v>
      </c>
      <c r="B55" s="1" t="s">
        <v>79</v>
      </c>
      <c r="C55" s="1">
        <v>5028.50677645318</v>
      </c>
      <c r="D55" s="1">
        <v>357</v>
      </c>
      <c r="I55">
        <v>7.21677637100219</v>
      </c>
      <c r="J55">
        <v>2.04676896333694</v>
      </c>
      <c r="K55">
        <v>0.229819923639297</v>
      </c>
      <c r="L55">
        <v>35.7577935606241</v>
      </c>
      <c r="M55">
        <v>1.86004914343357</v>
      </c>
      <c r="N55" s="1">
        <v>357</v>
      </c>
    </row>
    <row r="56" spans="1:14">
      <c r="A56" s="1">
        <v>24</v>
      </c>
      <c r="B56" s="1" t="s">
        <v>80</v>
      </c>
      <c r="C56" s="1">
        <v>4452.24080251907</v>
      </c>
      <c r="D56" s="1">
        <v>364</v>
      </c>
      <c r="I56">
        <v>4.12804877758026</v>
      </c>
      <c r="J56">
        <v>2.04866087436676</v>
      </c>
      <c r="K56">
        <v>0.354797273874282</v>
      </c>
      <c r="L56">
        <v>35.1592107117176</v>
      </c>
      <c r="M56">
        <v>1.90424567461013</v>
      </c>
      <c r="N56" s="1">
        <v>364</v>
      </c>
    </row>
    <row r="57" spans="1:14">
      <c r="A57" s="1">
        <v>25</v>
      </c>
      <c r="B57" s="1" t="s">
        <v>81</v>
      </c>
      <c r="C57" s="1">
        <v>6834.65639109383</v>
      </c>
      <c r="D57" s="1">
        <v>353</v>
      </c>
      <c r="I57">
        <v>7.46308755874633</v>
      </c>
      <c r="J57">
        <v>2.07669964432716</v>
      </c>
      <c r="K57">
        <v>0.409566938877105</v>
      </c>
      <c r="L57">
        <v>34.9887555837631</v>
      </c>
      <c r="M57">
        <v>1.90959393978118</v>
      </c>
      <c r="N57" s="1">
        <v>353</v>
      </c>
    </row>
    <row r="58" spans="1:14">
      <c r="A58" s="1">
        <v>26</v>
      </c>
      <c r="B58" s="1" t="s">
        <v>82</v>
      </c>
      <c r="C58" s="1">
        <v>7500.80075431886</v>
      </c>
      <c r="D58" s="1">
        <v>348</v>
      </c>
      <c r="I58">
        <v>5.02041647057247</v>
      </c>
      <c r="J58">
        <v>2.08789431832196</v>
      </c>
      <c r="K58">
        <v>0.546801639050824</v>
      </c>
      <c r="L58">
        <v>34.0795526608261</v>
      </c>
      <c r="M58">
        <v>1.87678687768612</v>
      </c>
      <c r="N58" s="1">
        <v>348</v>
      </c>
    </row>
    <row r="59" spans="1:14">
      <c r="A59" s="1">
        <v>27</v>
      </c>
      <c r="B59" s="1" t="s">
        <v>83</v>
      </c>
      <c r="C59" s="1">
        <v>6459.4113706297</v>
      </c>
      <c r="D59" s="1">
        <v>347</v>
      </c>
      <c r="I59">
        <v>4.75148661543208</v>
      </c>
      <c r="J59">
        <v>2.11645169102181</v>
      </c>
      <c r="K59">
        <v>0.239165305685755</v>
      </c>
      <c r="L59">
        <v>35.8464097998642</v>
      </c>
      <c r="M59">
        <v>1.90772663997453</v>
      </c>
      <c r="N59" s="1">
        <v>347</v>
      </c>
    </row>
    <row r="60" spans="1:14">
      <c r="A60" s="1">
        <v>28</v>
      </c>
      <c r="B60" s="1" t="s">
        <v>84</v>
      </c>
      <c r="C60" s="1">
        <v>3216.08288208251</v>
      </c>
      <c r="D60" s="1">
        <v>359</v>
      </c>
      <c r="I60">
        <v>6.22671792086201</v>
      </c>
      <c r="J60">
        <v>2.0711328400907</v>
      </c>
      <c r="K60">
        <v>0.376816515870757</v>
      </c>
      <c r="L60">
        <v>33.1786947431064</v>
      </c>
      <c r="M60">
        <v>1.88925699470001</v>
      </c>
      <c r="N60" s="1">
        <v>359</v>
      </c>
    </row>
    <row r="61" spans="1:14">
      <c r="A61" s="1">
        <v>29</v>
      </c>
      <c r="B61" s="1" t="s">
        <v>85</v>
      </c>
      <c r="C61" s="1">
        <v>3423.66879543345</v>
      </c>
      <c r="D61" s="1">
        <v>377</v>
      </c>
      <c r="I61">
        <v>8.98079885596344</v>
      </c>
      <c r="J61">
        <v>2.01641259514611</v>
      </c>
      <c r="K61">
        <v>0.083128975002891</v>
      </c>
      <c r="L61">
        <v>35.7597634041212</v>
      </c>
      <c r="M61">
        <v>1.89363942218949</v>
      </c>
      <c r="N61" s="1">
        <v>377</v>
      </c>
    </row>
    <row r="62" spans="1:14">
      <c r="A62" s="1">
        <v>30</v>
      </c>
      <c r="B62" s="1" t="s">
        <v>86</v>
      </c>
      <c r="C62" s="1">
        <v>7966.61801315111</v>
      </c>
      <c r="D62" s="1">
        <v>340</v>
      </c>
      <c r="I62">
        <v>4.92236301886311</v>
      </c>
      <c r="J62">
        <v>2.16980329654568</v>
      </c>
      <c r="K62">
        <v>0.122486197357072</v>
      </c>
      <c r="L62">
        <v>36.5506939253359</v>
      </c>
      <c r="M62">
        <v>1.94218602154989</v>
      </c>
      <c r="N62" s="1">
        <v>340</v>
      </c>
    </row>
  </sheetData>
  <mergeCells count="15">
    <mergeCell ref="P2:Q2"/>
    <mergeCell ref="R2:S2"/>
    <mergeCell ref="T2:U2"/>
    <mergeCell ref="V2:W2"/>
    <mergeCell ref="X2:Y2"/>
    <mergeCell ref="Z2:AA2"/>
    <mergeCell ref="AB2:AC2"/>
    <mergeCell ref="P35:Q35"/>
    <mergeCell ref="R35:S35"/>
    <mergeCell ref="T35:U35"/>
    <mergeCell ref="V35:W35"/>
    <mergeCell ref="X35:Y35"/>
    <mergeCell ref="Z35:AA35"/>
    <mergeCell ref="O2:O3"/>
    <mergeCell ref="O35:O36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扬帆</cp:lastModifiedBy>
  <dcterms:created xsi:type="dcterms:W3CDTF">2025-06-02T02:23:00Z</dcterms:created>
  <dcterms:modified xsi:type="dcterms:W3CDTF">2025-06-21T13:36:22Z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2AF5B25F88F94FBCB5AE75779104B59C_12</vt:lpwstr>
  </property>
  <property fmtid="{D5CDD505-2E9C-101B-9397-08002B2CF9AE}" pid="3" name="KSOProductBuildVer">
    <vt:lpwstr>2052-12.1.0.21541</vt:lpwstr>
  </property>
</Properties>
</file>