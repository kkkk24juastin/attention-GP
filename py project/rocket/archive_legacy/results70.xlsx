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<sst xmlns="http://schemas.openxmlformats.org/spreadsheetml/2006/main" count="126" uniqueCount="87">
  <si>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cycle</t>
  </si>
  <si>
    <t>resultpm</t>
  </si>
  <si>
    <t>QL_pm</t>
  </si>
  <si>
    <t>最大飞行高度</t>
  </si>
  <si>
    <t>ACT</t>
  </si>
  <si>
    <t>LHS</t>
  </si>
  <si>
    <t>序号</t>
  </si>
  <si>
    <t>X1</t>
  </si>
  <si>
    <t>X2</t>
  </si>
  <si>
    <t>X3</t>
  </si>
  <si>
    <t>X4</t>
  </si>
  <si>
    <t>X5</t>
  </si>
  <si>
    <t>X6</t>
  </si>
  <si>
    <t>Y</t>
  </si>
  <si>
    <t>[1.0638730078935623, 2.054278150200844, 0.2829674184322357, 32.03080689907074, 1.9370784610509872]</t>
  </si>
  <si>
    <t>最大值</t>
  </si>
  <si>
    <t>PM</t>
  </si>
  <si>
    <t>[6.546557982116359, 2.028195650938921, 0.12434389461452132, 32.08700209937621, 1.950263235267895]</t>
  </si>
  <si>
    <t>最小值</t>
  </si>
  <si>
    <t>[7.034639489757424, 2.0342857840262467, 0.17573259156622928, 37.19229582709704, 1.9971724234055728]</t>
  </si>
  <si>
    <t>中位数</t>
  </si>
  <si>
    <t>[3.875615035512639, 2.0314206845825264, 0.3574018389238637, 34.32464037498707, 1.958850025665015]</t>
  </si>
  <si>
    <t>平均值</t>
  </si>
  <si>
    <t>[7.156085800662876, 2.0043104887008667, 0.09776773936317654, 33.13593470139882, 1.933923601378352]</t>
  </si>
  <si>
    <t>Q1</t>
  </si>
  <si>
    <t>[3.604414525012011, 2.05653989331745, 0.5721566570431307, 30.45442488975823, 1.9650065555998237]</t>
  </si>
  <si>
    <t>Q3</t>
  </si>
  <si>
    <t>[7.2272514346987009, 2.044204025859168, 0.123024031902578, 31.97855106596668, 1.8755516431897696]</t>
  </si>
  <si>
    <t>[2.6191416988149285, 2.0533324209973216, 0.18150165671132884, 31.167125237922093, 1.9340837960819335]</t>
  </si>
  <si>
    <t>QL</t>
  </si>
  <si>
    <t>[5.822341402663031, 2.0380656491033733, 0.1632015978163959, 34.669161484959, 1.9514106900876078]</t>
  </si>
  <si>
    <t>[7.295534372329712, 2.122448220849037, 0.1798860728740692, 30.627966582775116, 1.8505247235298157]</t>
  </si>
  <si>
    <t>[5.476280331611633, 2.070966735482216, 0.08377420902252197, 38.74983197450638, 1.9981100112199783]</t>
  </si>
  <si>
    <t>[3.770002187229693, 2.2032859559149767, 0.07204165617548257, 30.41684012798389, 1.9210514424571263]</t>
  </si>
  <si>
    <t>[5.631647706031799, 2.032775029540062, 0.059521064162254333, 37.20762126147747, 1.7898784279823303]</t>
  </si>
  <si>
    <t>[4.219189705562344, 2.030678810041225, 0.14679204632827103, 38.404019701019436, 1.9809761234400745]</t>
  </si>
  <si>
    <t>[5.9693859070539474, 2.0532992631196976, 0.0845823585987091, 36.56325729191303, 1.9630376100540161]</t>
  </si>
  <si>
    <t>[7.4843340701531291, 2.0185451137844996, 0.10183843553741523, 34.279926196966784, 1.9185655408453082]</t>
  </si>
  <si>
    <t>[2.092249944806099, 2.0177259892225266, 0.07393616437911987, 32.55882674455643, 1.92398302257061]</t>
  </si>
  <si>
    <t>[1.8901341114452417, 2.057956526340292, 0.3796284765196899, 32.17829264607048, 1.9478110417009944]</t>
  </si>
  <si>
    <t>[9.364367559552193, 2.08416211605072, 0.08508710563182831, 37.59113219380379, 1.8837379217147827]</t>
  </si>
  <si>
    <t>[5.540719724084757, 2.0173538887512774, 0.16226096364609824, 39.27452332619029, 1.9808004567015616]</t>
  </si>
  <si>
    <t>[7.588520122797203, 2.0803265073904504, 0.1696917985690403, 32.85767056458455, 1.9764076020201922]</t>
  </si>
  <si>
    <t>[3.8076122886520354, 2.0237093192662714, 0.18118100189021996, 32.313246462611694, 1.9308558272408034]</t>
  </si>
  <si>
    <t>[5.665956945846213, 2.008330091228818, 0.23323955264124813, 39.742756292402795, 1.9363040443029795]</t>
  </si>
  <si>
    <t>[5.689059735582479, 2.0626256887337284, 0.15053555758739165, 33.52086622887424, 1.9884243036440816]</t>
  </si>
  <si>
    <t>[2.4051537499604105, 2.0888078088722635, 0.43494406579001266, 30.246046973197856, 1.9516086899898422]</t>
  </si>
  <si>
    <t>[2.9607909330318094, 2.063642112067286, 0.0792159202943236, 35.11458752380925, 1.9498898702773309]</t>
  </si>
  <si>
    <t>[6.9692122638225555, 2.0826468616724014, 0.1329236626625061, 38.26476709544659, 1.9226004481315613]</t>
  </si>
  <si>
    <t>[4.983388089461016, 2.027959878661461, 0.1130022148747272, 40.006064096872834, 1.970633837627247]</t>
  </si>
  <si>
    <t>[2.2876972161731914, 2.0279971580040503, 0.10014217439837614, 32.80854974438635, 1.9780323890593725]</t>
  </si>
  <si>
    <t>[6.554041976793817, 2.114552845882285, 0.4269440172738225, 30.573321068659425, 1.961882303702581]</t>
  </si>
  <si>
    <t>resultlhs</t>
  </si>
  <si>
    <t>QL_lhs</t>
  </si>
  <si>
    <t>[3.140976953817777, 2.3194270321544614, 0.576943370513618, 33.864861734513326, 1.9070316301110344]</t>
  </si>
  <si>
    <t>[4.950287337249952, 2.0805909163416474, 0.3159574282367778, 34.98996938926548, 1.8726090846445826]</t>
  </si>
  <si>
    <t>总实验样本</t>
  </si>
  <si>
    <t>均值</t>
  </si>
  <si>
    <t>[4.005866553634405, 2.003605503588915, 0.5277266607154161, 31.72956506256014, 1.921291205799207]</t>
  </si>
  <si>
    <t>MH</t>
  </si>
  <si>
    <t>[8.074145644771324, 2.0647639800806386, 0.42823975986677854, 34.932726230569855, 1.8317926484395706]</t>
  </si>
  <si>
    <t>[4.860307827591896, 2.0431342720985413, 0.18270158767700195, 35.52584117650986, 1.8140099197626114]</t>
  </si>
  <si>
    <t>[4.141123234440874, 2.04292522999458, 0.2751056330164927, 31.76800329274013, 1.9420093509677896]</t>
  </si>
  <si>
    <t>[8.09896746828263, 2.082054773258855, 0.4137874953487142, 34.199745829657246, 1.8172948562789424]</t>
  </si>
  <si>
    <t>[8.285687047517191, 2.117799875206969, 0.02842608722858131, 36.39532667932343, 1.8459654425862588]</t>
  </si>
  <si>
    <t>[6.787856624592245, 2.139767538950852, 0.31874945177696645, 38.762503491683844, 1.9187052510906342]</t>
  </si>
  <si>
    <t>[1.6549605429172516, 2.0813719630241394, 0.5381563156843185, 34.15535677969456, 1.8145069479942322]</t>
  </si>
  <si>
    <t>[2.7633158234734996, 2.077610713103631, 0.6085817788471001, 33.6117276730205, 1.8968689588263032]</t>
  </si>
  <si>
    <t>[4.121238729799797, 2.0612725923155075, 0.1629830712741751, 31.75864497350448, 1.8977798247764293]</t>
  </si>
  <si>
    <t>[6.554639589577451, 2.066466046621775, 0.32054287159530626, 33.559211565370354, 1.8853157037298325]</t>
  </si>
  <si>
    <t>[6.699319586157799, 2.0812644213438034, 0.23551468551158905, 33.912269935011864, 1.8852107524871826]</t>
  </si>
  <si>
    <t>[0.1224391758441925, 2.1810877323150635, 0.0885772854089737, 34.31087547540665, 1.8901544511318207]</t>
  </si>
  <si>
    <t>[7.782197172400513, 2.0296339513923227, 0.33737238995721075, 32.15186112145454, 1.9107662052645473]</t>
  </si>
  <si>
    <t>[3.2586788773622164, 2.0525392553170665, 0.33487427998637376, 31.873993354084128, 1.9431302822194993]</t>
  </si>
  <si>
    <t>[2.8539421650171963, 2.223152204781848, 0.6782853134321251, 32.83393519945359, 1.9176954246773383]</t>
  </si>
  <si>
    <t>[7.91179695725441, 2.0782479345798492, 0.24450528621673584, 36.70200163125992, 1.9319420158863068]</t>
  </si>
  <si>
    <t>[8.824398554797117, 2.101794558132525, 0.30608359968703347, 36.767537193605776, 1.8738172261094677]</t>
  </si>
  <si>
    <t>[6.826569444180372, 2.138490807420947, 0.13967110374067798, 41.23851520212453, 1.9357004868385612]</t>
  </si>
  <si>
    <t>[4.342564137416911, 2.0302508460594457, 0.5150365011283409, 32.88276708712225, 1.8446339456422436]</t>
  </si>
  <si>
    <t>[5.765460272514436, 2.065877028270426, 0.1687494121738083, 35.41014463666575, 1.8632854084843022]</t>
  </si>
  <si>
    <t>[9.275294607427988, 2.027176550356671, 0.2663948046738265, 34.04059483413352, 1.8138165980876753]</t>
  </si>
  <si>
    <t>[8.067792196811586, 2.0630841241659432, 0.3634604643474756, 30.949661442910326, 1.897563056001467]</t>
  </si>
  <si>
    <t>[5.066873175858024, 2.128441357478831, 0.23153282469138503, 33.93412802418517, 1.8817628346256896]</t>
  </si>
  <si>
    <t>[7.511610001325607, 2.0181873440742493, 0.40094606578350067, 34.24436441063881, 1.8205491304397583]</t>
  </si>
  <si>
    <t>[3.580753038105555, 2.0034218784421682, 0.16350369737869025, 35.76465257293418, 1.9638950274635394]</t>
  </si>
  <si>
    <t>[6.9491474290236, 2.1246442032951407, 0.41758190097471326, 36.52619595825213, 1.8703588838794694]</t>
  </si>
  <si>
    <t>[5.430992409586906, 2.1109775602817535, 0.4005257934331894, 33.16675977408886, 1.8383331447839737]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</si>
</sst>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2"/>
  <sheetViews>
    <sheetView tabSelected="1" zoomScale="85" zoomScaleNormal="85" topLeftCell="B1" workbookViewId="0">
      <selection activeCell="Q37" sqref="Q37"/>
    </sheetView>
  </sheetViews>
  <sheetFormatPr defaultColWidth="9" defaultRowHeight="13.5"/>
  <cols>
    <col min="1" max="1" width="7.375" style="1" customWidth="1"/>
    <col min="2" max="2" width="112.625" style="1" customWidth="1"/>
    <col min="3" max="3" width="12.75" style="1" customWidth="1"/>
    <col min="4" max="4" width="14.125" style="1" customWidth="1"/>
    <col min="5" max="5" width="12.75" style="1" customWidth="1"/>
    <col min="9" max="13" width="12.625"/>
    <col min="14" max="14" width="14.125" style="1" customWidth="1"/>
    <col min="16" max="16" width="10.875" customWidth="1"/>
    <col min="17" max="17" width="6.375" customWidth="1"/>
    <col min="18" max="18" width="8.375" customWidth="1"/>
    <col min="19" max="19" width="7" customWidth="1"/>
    <col min="20" max="20" width="8.375" customWidth="1"/>
    <col min="21" max="21" width="7" customWidth="1"/>
    <col min="22" max="22" width="9.375" customWidth="1"/>
    <col min="23" max="23" width="7" customWidth="1"/>
    <col min="24" max="24" width="8.375" customWidth="1"/>
    <col min="25" max="25" width="7.375" customWidth="1"/>
    <col min="26" max="26" width="8.375" customWidth="1"/>
    <col min="27" max="27" width="7.375" customWidth="1"/>
    <col min="28" max="28" width="8.375" customWidth="1"/>
  </cols>
  <sheetData>
    <row r="1" spans="1:30">
      <c r="A1" s="2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1" t="s">
        <v>4</v>
      </c>
      <c r="G1" s="4" t="s">
        <v>5</v>
      </c>
      <c r="N1" s="3" t="s">
        <v>3</v>
      </c>
      <c r="P1" s="8" t="s">
        <v>6</v>
      </c>
      <c r="Q1" s="8" t="s">
        <v>7</v>
      </c>
      <c r="R1" s="8"/>
      <c r="S1" s="8" t="s">
        <v>8</v>
      </c>
      <c r="T1" s="8"/>
      <c r="U1" s="8" t="s">
        <v>9</v>
      </c>
      <c r="V1" s="8"/>
      <c r="W1" s="8" t="s">
        <v>10</v>
      </c>
      <c r="X1" s="8"/>
      <c r="Y1" s="8" t="s">
        <v>11</v>
      </c>
      <c r="Z1" s="8"/>
      <c r="AA1" s="8" t="s">
        <v>12</v>
      </c>
      <c r="AB1" s="8"/>
      <c r="AC1" s="8" t="s">
        <v>13</v>
      </c>
      <c r="AD1" s="8"/>
    </row>
    <row r="2" ht="16.5" spans="1:30">
      <c r="A2" s="1">
        <v>1</v>
      </c>
      <c r="B2" s="1" t="s">
        <v>14</v>
      </c>
      <c r="C2" s="1">
        <v>2829.77921661204</v>
      </c>
      <c r="D2" s="1">
        <v>318</v>
      </c>
      <c r="E2" s="5" t="s">
        <v>15</v>
      </c>
      <c r="F2" s="6">
        <f>MAX(D2:D31)</f>
        <v>392</v>
      </c>
      <c r="G2" s="6">
        <f>MAX(D33:D62)</f>
        <v>384</v>
      </c>
      <c r="I2">
        <v>1.06387300789356</v>
      </c>
      <c r="J2">
        <v>2.05427815020084</v>
      </c>
      <c r="K2">
        <v>0.282967418432235</v>
      </c>
      <c r="L2">
        <v>32.0308068990707</v>
      </c>
      <c r="M2">
        <v>1.93707846105098</v>
      </c>
      <c r="N2" s="1">
        <v>318</v>
      </c>
      <c r="P2" s="8"/>
      <c r="Q2" s="8" t="s">
        <v>5</v>
      </c>
      <c r="R2" s="8" t="s">
        <v>16</v>
      </c>
      <c r="S2" s="8" t="s">
        <v>5</v>
      </c>
      <c r="T2" s="8" t="s">
        <v>16</v>
      </c>
      <c r="U2" s="8" t="s">
        <v>5</v>
      </c>
      <c r="V2" s="8" t="s">
        <v>16</v>
      </c>
      <c r="W2" s="8" t="s">
        <v>5</v>
      </c>
      <c r="X2" s="8" t="s">
        <v>16</v>
      </c>
      <c r="Y2" s="8" t="s">
        <v>5</v>
      </c>
      <c r="Z2" s="8" t="s">
        <v>16</v>
      </c>
      <c r="AA2" s="8" t="s">
        <v>5</v>
      </c>
      <c r="AB2" s="8" t="s">
        <v>16</v>
      </c>
      <c r="AC2" s="8" t="s">
        <v>5</v>
      </c>
      <c r="AD2" s="8" t="s">
        <v>16</v>
      </c>
    </row>
    <row r="3" ht="16.5" spans="1:30">
      <c r="A3" s="1">
        <v>2</v>
      </c>
      <c r="B3" s="1" t="s">
        <v>17</v>
      </c>
      <c r="C3" s="1">
        <v>2766.0390557652</v>
      </c>
      <c r="D3" s="1">
        <v>390</v>
      </c>
      <c r="E3" s="7" t="s">
        <v>18</v>
      </c>
      <c r="F3" s="6">
        <f>MIN(D2:D31)</f>
        <v>318</v>
      </c>
      <c r="G3" s="6">
        <f>MIN(D33:D62)</f>
        <v>242</v>
      </c>
      <c r="I3">
        <v>6.54655798211635</v>
      </c>
      <c r="J3">
        <v>2.02819565093892</v>
      </c>
      <c r="K3">
        <v>0.124343894614521</v>
      </c>
      <c r="L3">
        <v>32.0870020993762</v>
      </c>
      <c r="M3">
        <v>1.95026323526789</v>
      </c>
      <c r="N3" s="1">
        <v>390</v>
      </c>
      <c r="P3" s="1">
        <v>1</v>
      </c>
      <c r="Q3" s="10">
        <v>3.1</v>
      </c>
      <c r="R3" s="10">
        <v>1.1</v>
      </c>
      <c r="S3" s="11">
        <v>2.32</v>
      </c>
      <c r="T3" s="11">
        <v>2.05</v>
      </c>
      <c r="U3" s="11">
        <v>0.58</v>
      </c>
      <c r="V3" s="11">
        <v>0.28</v>
      </c>
      <c r="W3" s="10">
        <v>33.9</v>
      </c>
      <c r="X3" s="10">
        <v>32</v>
      </c>
      <c r="Y3" s="11">
        <v>1.91</v>
      </c>
      <c r="Z3" s="11">
        <v>1.94</v>
      </c>
      <c r="AA3" s="9">
        <v>0</v>
      </c>
      <c r="AB3" s="9">
        <v>0</v>
      </c>
      <c r="AC3" s="1">
        <v>284</v>
      </c>
      <c r="AD3" s="1">
        <v>318</v>
      </c>
    </row>
    <row r="4" ht="16.5" spans="1:30">
      <c r="A4" s="1">
        <v>3</v>
      </c>
      <c r="B4" s="1" t="s">
        <v>19</v>
      </c>
      <c r="C4" s="1">
        <v>2259.01629580192</v>
      </c>
      <c r="D4" s="1">
        <v>383</v>
      </c>
      <c r="E4" s="5" t="s">
        <v>20</v>
      </c>
      <c r="F4" s="6">
        <f>MEDIAN(D2:D31)</f>
        <v>374.5</v>
      </c>
      <c r="G4" s="6">
        <f>MEDIAN(D33:D62)</f>
        <v>352</v>
      </c>
      <c r="I4">
        <v>7.03463948975742</v>
      </c>
      <c r="J4">
        <v>2.03428578402624</v>
      </c>
      <c r="K4">
        <v>0.175732591566229</v>
      </c>
      <c r="L4">
        <v>37.192295827097</v>
      </c>
      <c r="M4">
        <v>1.99717242340557</v>
      </c>
      <c r="N4" s="1">
        <v>383</v>
      </c>
      <c r="P4" s="1">
        <v>2</v>
      </c>
      <c r="Q4" s="10">
        <v>5</v>
      </c>
      <c r="R4" s="10">
        <v>6.5</v>
      </c>
      <c r="S4" s="11">
        <v>2.08</v>
      </c>
      <c r="T4" s="11">
        <v>2.03</v>
      </c>
      <c r="U4" s="11">
        <v>0.32</v>
      </c>
      <c r="V4" s="11">
        <v>0.12</v>
      </c>
      <c r="W4" s="10">
        <v>35</v>
      </c>
      <c r="X4" s="10">
        <v>32.1</v>
      </c>
      <c r="Y4" s="11">
        <v>1.87</v>
      </c>
      <c r="Z4" s="11">
        <v>1.95</v>
      </c>
      <c r="AA4" s="9">
        <v>0</v>
      </c>
      <c r="AB4" s="9">
        <v>0</v>
      </c>
      <c r="AC4" s="1">
        <v>351</v>
      </c>
      <c r="AD4" s="1">
        <v>390</v>
      </c>
    </row>
    <row r="5" ht="16.5" spans="1:30">
      <c r="A5" s="1">
        <v>4</v>
      </c>
      <c r="B5" s="1" t="s">
        <v>21</v>
      </c>
      <c r="C5" s="1">
        <v>3374.55182645489</v>
      </c>
      <c r="D5" s="1">
        <v>378</v>
      </c>
      <c r="E5" s="5" t="s">
        <v>22</v>
      </c>
      <c r="F5" s="6">
        <f>AVERAGE(D2:D31)</f>
        <v>369.533333333333</v>
      </c>
      <c r="G5" s="6">
        <f>AVERAGE(D33:D62)</f>
        <v>346</v>
      </c>
      <c r="I5">
        <v>3.87561503551263</v>
      </c>
      <c r="J5">
        <v>2.03142068458252</v>
      </c>
      <c r="K5">
        <v>0.357401838923863</v>
      </c>
      <c r="L5">
        <v>34.324640374987</v>
      </c>
      <c r="M5">
        <v>1.95885002566501</v>
      </c>
      <c r="N5" s="1">
        <v>378</v>
      </c>
      <c r="P5" s="1">
        <v>3</v>
      </c>
      <c r="Q5" s="10">
        <v>4</v>
      </c>
      <c r="R5" s="10">
        <v>7</v>
      </c>
      <c r="S5" s="11">
        <v>2</v>
      </c>
      <c r="T5" s="11">
        <v>2.03</v>
      </c>
      <c r="U5" s="11">
        <v>0.53</v>
      </c>
      <c r="V5" s="11">
        <v>0.18</v>
      </c>
      <c r="W5" s="10">
        <v>31.7</v>
      </c>
      <c r="X5" s="10">
        <v>37.2</v>
      </c>
      <c r="Y5" s="11">
        <v>1.92</v>
      </c>
      <c r="Z5" s="11">
        <v>2</v>
      </c>
      <c r="AA5" s="9">
        <v>0</v>
      </c>
      <c r="AB5" s="9">
        <v>0</v>
      </c>
      <c r="AC5" s="1">
        <v>384</v>
      </c>
      <c r="AD5" s="1">
        <v>383</v>
      </c>
    </row>
    <row r="6" ht="16.5" spans="1:30">
      <c r="A6" s="1">
        <v>5</v>
      </c>
      <c r="B6" s="1" t="s">
        <v>23</v>
      </c>
      <c r="C6" s="1">
        <v>2540.05792043314</v>
      </c>
      <c r="D6" s="1">
        <v>392</v>
      </c>
      <c r="E6" s="5" t="s">
        <v>24</v>
      </c>
      <c r="F6" s="6">
        <f>QUARTILE(D2:D31,1)</f>
        <v>360.5</v>
      </c>
      <c r="G6" s="6">
        <f>QUARTILE(D33:D62,1)</f>
        <v>334.5</v>
      </c>
      <c r="I6">
        <v>7.15608580066287</v>
      </c>
      <c r="J6">
        <v>2.00431048870086</v>
      </c>
      <c r="K6">
        <v>0.0977677393631765</v>
      </c>
      <c r="L6">
        <v>33.1359347013988</v>
      </c>
      <c r="M6">
        <v>1.93392360137835</v>
      </c>
      <c r="N6" s="1">
        <v>392</v>
      </c>
      <c r="P6" s="1">
        <v>4</v>
      </c>
      <c r="Q6" s="10">
        <v>8.1</v>
      </c>
      <c r="R6" s="10">
        <v>3.9</v>
      </c>
      <c r="S6" s="11">
        <v>2.06</v>
      </c>
      <c r="T6" s="11">
        <v>2.03</v>
      </c>
      <c r="U6" s="11">
        <v>0.43</v>
      </c>
      <c r="V6" s="11">
        <v>0.36</v>
      </c>
      <c r="W6" s="10">
        <v>34.9</v>
      </c>
      <c r="X6" s="10">
        <v>34.3</v>
      </c>
      <c r="Y6" s="11">
        <v>1.83</v>
      </c>
      <c r="Z6" s="11">
        <v>1.96</v>
      </c>
      <c r="AA6" s="9">
        <v>0</v>
      </c>
      <c r="AB6" s="9">
        <v>0</v>
      </c>
      <c r="AC6" s="1">
        <v>339</v>
      </c>
      <c r="AD6" s="1">
        <v>378</v>
      </c>
    </row>
    <row r="7" ht="16.5" spans="1:30">
      <c r="A7" s="1">
        <v>6</v>
      </c>
      <c r="B7" s="1" t="s">
        <v>25</v>
      </c>
      <c r="C7" s="1">
        <v>2864.377793639</v>
      </c>
      <c r="D7" s="1">
        <v>379</v>
      </c>
      <c r="E7" s="5" t="s">
        <v>26</v>
      </c>
      <c r="F7" s="6">
        <f>QUARTILE(D2:D31,3)</f>
        <v>380.5</v>
      </c>
      <c r="G7" s="6">
        <f>QUARTILE(D33:D62,3)</f>
        <v>362.25</v>
      </c>
      <c r="I7">
        <v>3.60441452501201</v>
      </c>
      <c r="J7">
        <v>2.05653989331745</v>
      </c>
      <c r="K7">
        <v>0.57215665704313</v>
      </c>
      <c r="L7">
        <v>30.4544248897582</v>
      </c>
      <c r="M7">
        <v>1.96500655559982</v>
      </c>
      <c r="N7" s="1">
        <v>379</v>
      </c>
      <c r="P7" s="1">
        <v>5</v>
      </c>
      <c r="Q7" s="10">
        <v>4.9</v>
      </c>
      <c r="R7" s="10">
        <v>7.2</v>
      </c>
      <c r="S7" s="11">
        <v>2.04</v>
      </c>
      <c r="T7" s="11">
        <v>2</v>
      </c>
      <c r="U7" s="11">
        <v>0.18</v>
      </c>
      <c r="V7" s="11">
        <v>0.1</v>
      </c>
      <c r="W7" s="10">
        <v>35.5</v>
      </c>
      <c r="X7" s="10">
        <v>33.1</v>
      </c>
      <c r="Y7" s="11">
        <v>1.81</v>
      </c>
      <c r="Z7" s="11">
        <v>1.93</v>
      </c>
      <c r="AA7" s="9">
        <v>0</v>
      </c>
      <c r="AB7" s="9">
        <v>0</v>
      </c>
      <c r="AC7" s="1">
        <v>353</v>
      </c>
      <c r="AD7" s="1">
        <v>392</v>
      </c>
    </row>
    <row r="8" spans="1:30">
      <c r="A8" s="1">
        <v>7</v>
      </c>
      <c r="B8" s="1" t="s">
        <v>27</v>
      </c>
      <c r="C8" s="1">
        <v>5202.66004188115</v>
      </c>
      <c r="D8" s="1">
        <v>375</v>
      </c>
      <c r="F8" s="1"/>
      <c r="G8" s="4"/>
      <c r="I8">
        <v>7.2272514346987</v>
      </c>
      <c r="J8">
        <v>2.04420402585916</v>
      </c>
      <c r="K8">
        <v>0.123024031902578</v>
      </c>
      <c r="L8">
        <v>31.9785510659666</v>
      </c>
      <c r="M8">
        <v>1.87555164318976</v>
      </c>
      <c r="N8" s="1">
        <v>375</v>
      </c>
      <c r="P8" s="1">
        <v>6</v>
      </c>
      <c r="Q8" s="10">
        <v>4.1</v>
      </c>
      <c r="R8" s="10">
        <v>3.6</v>
      </c>
      <c r="S8" s="11">
        <v>2.04</v>
      </c>
      <c r="T8" s="11">
        <v>2.06</v>
      </c>
      <c r="U8" s="11">
        <v>0.28</v>
      </c>
      <c r="V8" s="11">
        <v>0.57</v>
      </c>
      <c r="W8" s="10">
        <v>31.8</v>
      </c>
      <c r="X8" s="10">
        <v>30.5</v>
      </c>
      <c r="Y8" s="11">
        <v>1.94</v>
      </c>
      <c r="Z8" s="11">
        <v>1.97</v>
      </c>
      <c r="AA8" s="9">
        <v>0</v>
      </c>
      <c r="AB8" s="9">
        <v>0</v>
      </c>
      <c r="AC8" s="1">
        <v>381</v>
      </c>
      <c r="AD8" s="1">
        <v>379</v>
      </c>
    </row>
    <row r="9" spans="1:30">
      <c r="A9" s="1">
        <v>8</v>
      </c>
      <c r="B9" s="1" t="s">
        <v>28</v>
      </c>
      <c r="C9" s="1">
        <v>1854.14490600877</v>
      </c>
      <c r="D9" s="1">
        <v>369</v>
      </c>
      <c r="E9" s="1" t="s">
        <v>29</v>
      </c>
      <c r="F9" s="1"/>
      <c r="G9" s="4"/>
      <c r="I9">
        <v>2.61914169881492</v>
      </c>
      <c r="J9">
        <v>2.05333242099732</v>
      </c>
      <c r="K9">
        <v>0.181501656711328</v>
      </c>
      <c r="L9">
        <v>31.167125237922</v>
      </c>
      <c r="M9">
        <v>1.93408379608193</v>
      </c>
      <c r="N9" s="1">
        <v>369</v>
      </c>
      <c r="P9" s="1">
        <v>7</v>
      </c>
      <c r="Q9" s="10">
        <v>8.1</v>
      </c>
      <c r="R9" s="10">
        <v>7.2</v>
      </c>
      <c r="S9" s="11">
        <v>2.08</v>
      </c>
      <c r="T9" s="11">
        <v>2.04</v>
      </c>
      <c r="U9" s="11">
        <v>0.41</v>
      </c>
      <c r="V9" s="11">
        <v>0.12</v>
      </c>
      <c r="W9" s="10">
        <v>34.2</v>
      </c>
      <c r="X9" s="10">
        <v>32</v>
      </c>
      <c r="Y9" s="11">
        <v>1.82</v>
      </c>
      <c r="Z9" s="11">
        <v>1.88</v>
      </c>
      <c r="AA9" s="9">
        <v>0</v>
      </c>
      <c r="AB9" s="9">
        <v>0</v>
      </c>
      <c r="AC9" s="1">
        <v>334</v>
      </c>
      <c r="AD9" s="1">
        <v>375</v>
      </c>
    </row>
    <row r="10" ht="16.5" spans="1:30">
      <c r="A10" s="1">
        <v>9</v>
      </c>
      <c r="B10" s="1" t="s">
        <v>30</v>
      </c>
      <c r="C10" s="1">
        <v>3835.33756005657</v>
      </c>
      <c r="D10" s="1">
        <v>381</v>
      </c>
      <c r="E10" s="5" t="s">
        <v>15</v>
      </c>
      <c r="F10" s="1">
        <f>MAX(C2:C31)</f>
        <v>8610.51769841277</v>
      </c>
      <c r="G10" s="4">
        <f>MAX(C33:C62)</f>
        <v>19136.5699830554</v>
      </c>
      <c r="I10">
        <v>5.82234140266303</v>
      </c>
      <c r="J10">
        <v>2.03806564910337</v>
      </c>
      <c r="K10">
        <v>0.163201597816395</v>
      </c>
      <c r="L10">
        <v>34.669161484959</v>
      </c>
      <c r="M10">
        <v>1.9514106900876</v>
      </c>
      <c r="N10" s="1">
        <v>381</v>
      </c>
      <c r="P10" s="1">
        <v>8</v>
      </c>
      <c r="Q10" s="10">
        <v>8.3</v>
      </c>
      <c r="R10" s="10">
        <v>2.6</v>
      </c>
      <c r="S10" s="11">
        <v>2.12</v>
      </c>
      <c r="T10" s="11">
        <v>2.05</v>
      </c>
      <c r="U10" s="11">
        <v>0.03</v>
      </c>
      <c r="V10" s="11">
        <v>0.18</v>
      </c>
      <c r="W10" s="10">
        <v>36.4</v>
      </c>
      <c r="X10" s="10">
        <v>31.2</v>
      </c>
      <c r="Y10" s="11">
        <v>1.85</v>
      </c>
      <c r="Z10" s="11">
        <v>1.93</v>
      </c>
      <c r="AA10" s="9">
        <v>0</v>
      </c>
      <c r="AB10" s="9">
        <v>0</v>
      </c>
      <c r="AC10" s="1">
        <v>343</v>
      </c>
      <c r="AD10" s="1">
        <v>369</v>
      </c>
    </row>
    <row r="11" ht="15" spans="1:30">
      <c r="A11" s="1">
        <v>10</v>
      </c>
      <c r="B11" s="1" t="s">
        <v>31</v>
      </c>
      <c r="C11" s="1">
        <v>6901.03377604821</v>
      </c>
      <c r="D11" s="1">
        <v>351</v>
      </c>
      <c r="E11" s="7" t="s">
        <v>18</v>
      </c>
      <c r="F11" s="1">
        <f>MIN(C2:C31)</f>
        <v>1854.14490600877</v>
      </c>
      <c r="G11" s="4">
        <f>MIN(C33:C62)</f>
        <v>1914.77848965156</v>
      </c>
      <c r="I11">
        <v>7.29553437232971</v>
      </c>
      <c r="J11">
        <v>2.12244822084903</v>
      </c>
      <c r="K11">
        <v>0.179886072874069</v>
      </c>
      <c r="L11">
        <v>30.6279665827751</v>
      </c>
      <c r="M11">
        <v>1.85052472352981</v>
      </c>
      <c r="N11" s="1">
        <v>351</v>
      </c>
      <c r="P11" s="1">
        <v>9</v>
      </c>
      <c r="Q11" s="10">
        <v>6.8</v>
      </c>
      <c r="R11" s="10">
        <v>5.8</v>
      </c>
      <c r="S11" s="11">
        <v>2.14</v>
      </c>
      <c r="T11" s="11">
        <v>2.04</v>
      </c>
      <c r="U11" s="11">
        <v>0.32</v>
      </c>
      <c r="V11" s="11">
        <v>0.16</v>
      </c>
      <c r="W11" s="10">
        <v>38.8</v>
      </c>
      <c r="X11" s="10">
        <v>34.7</v>
      </c>
      <c r="Y11" s="11">
        <v>1.92</v>
      </c>
      <c r="Z11" s="11">
        <v>1.95</v>
      </c>
      <c r="AA11" s="9">
        <v>0</v>
      </c>
      <c r="AB11" s="9">
        <v>0</v>
      </c>
      <c r="AC11" s="1">
        <v>331</v>
      </c>
      <c r="AD11" s="1">
        <v>381</v>
      </c>
    </row>
    <row r="12" ht="16.5" spans="1:30">
      <c r="A12" s="1">
        <v>11</v>
      </c>
      <c r="B12" s="1" t="s">
        <v>32</v>
      </c>
      <c r="C12" s="1">
        <v>2559.06397577873</v>
      </c>
      <c r="D12" s="1">
        <v>374</v>
      </c>
      <c r="E12" s="5" t="s">
        <v>20</v>
      </c>
      <c r="F12" s="1">
        <f>MEDIAN(C2:C31)</f>
        <v>2863.82032991062</v>
      </c>
      <c r="G12" s="4">
        <f>MEDIAN(C33:C62)</f>
        <v>6489.23250599846</v>
      </c>
      <c r="I12">
        <v>5.47628033161163</v>
      </c>
      <c r="J12">
        <v>2.07096673548221</v>
      </c>
      <c r="K12">
        <v>0.0837742090225219</v>
      </c>
      <c r="L12">
        <v>38.7498319745063</v>
      </c>
      <c r="M12">
        <v>1.99811001121997</v>
      </c>
      <c r="N12" s="1">
        <v>374</v>
      </c>
      <c r="P12" s="1">
        <v>10</v>
      </c>
      <c r="Q12" s="10">
        <v>1.7</v>
      </c>
      <c r="R12" s="10">
        <v>7.3</v>
      </c>
      <c r="S12" s="11">
        <v>2.08</v>
      </c>
      <c r="T12" s="11">
        <v>2.12</v>
      </c>
      <c r="U12" s="11">
        <v>0.54</v>
      </c>
      <c r="V12" s="11">
        <v>0.18</v>
      </c>
      <c r="W12" s="10">
        <v>34.2</v>
      </c>
      <c r="X12" s="10">
        <v>30.6</v>
      </c>
      <c r="Y12" s="11">
        <v>1.81</v>
      </c>
      <c r="Z12" s="11">
        <v>1.85</v>
      </c>
      <c r="AA12" s="9">
        <v>0</v>
      </c>
      <c r="AB12" s="9">
        <v>0</v>
      </c>
      <c r="AC12" s="1">
        <v>318</v>
      </c>
      <c r="AD12" s="1">
        <v>351</v>
      </c>
    </row>
    <row r="13" ht="16.5" spans="1:30">
      <c r="A13" s="1">
        <v>12</v>
      </c>
      <c r="B13" s="1" t="s">
        <v>33</v>
      </c>
      <c r="C13" s="1">
        <v>8610.51769841277</v>
      </c>
      <c r="D13" s="1">
        <v>343</v>
      </c>
      <c r="E13" s="5" t="s">
        <v>22</v>
      </c>
      <c r="F13" s="1">
        <f>AVERAGE(C2:C31)</f>
        <v>3527.61893741792</v>
      </c>
      <c r="G13" s="4">
        <f>AVERAGE(C33:C62)</f>
        <v>7056.32070050781</v>
      </c>
      <c r="I13">
        <v>3.77000218722969</v>
      </c>
      <c r="J13">
        <v>2.20328595591497</v>
      </c>
      <c r="K13">
        <v>0.0720416561754825</v>
      </c>
      <c r="L13">
        <v>30.4168401279838</v>
      </c>
      <c r="M13">
        <v>1.92105144245712</v>
      </c>
      <c r="N13" s="1">
        <v>343</v>
      </c>
      <c r="P13" s="1">
        <v>11</v>
      </c>
      <c r="Q13" s="10">
        <v>2.8</v>
      </c>
      <c r="R13" s="10">
        <v>5.5</v>
      </c>
      <c r="S13" s="11">
        <v>2.08</v>
      </c>
      <c r="T13" s="11">
        <v>2.07</v>
      </c>
      <c r="U13" s="11">
        <v>0.61</v>
      </c>
      <c r="V13" s="11">
        <v>0.08</v>
      </c>
      <c r="W13" s="10">
        <v>33.6</v>
      </c>
      <c r="X13" s="10">
        <v>38.7</v>
      </c>
      <c r="Y13" s="11">
        <v>1.9</v>
      </c>
      <c r="Z13" s="11">
        <v>2</v>
      </c>
      <c r="AA13" s="9">
        <v>0</v>
      </c>
      <c r="AB13" s="9">
        <v>0</v>
      </c>
      <c r="AC13" s="1">
        <v>351</v>
      </c>
      <c r="AD13" s="1">
        <v>374</v>
      </c>
    </row>
    <row r="14" ht="16.5" spans="1:30">
      <c r="A14" s="1">
        <v>13</v>
      </c>
      <c r="B14" s="1" t="s">
        <v>34</v>
      </c>
      <c r="C14" s="1">
        <v>4114.21835983279</v>
      </c>
      <c r="D14" s="1">
        <v>352</v>
      </c>
      <c r="E14" s="5" t="s">
        <v>24</v>
      </c>
      <c r="F14" s="1">
        <f>QUARTILE(C2:C31,1)</f>
        <v>2516.1289709281</v>
      </c>
      <c r="G14" s="4">
        <f>QUARTILE(C33:C62,1)</f>
        <v>4823.49755072628</v>
      </c>
      <c r="I14">
        <v>5.63164770603179</v>
      </c>
      <c r="J14">
        <v>2.03277502954006</v>
      </c>
      <c r="K14">
        <v>0.0595210641622543</v>
      </c>
      <c r="L14">
        <v>37.2076212614774</v>
      </c>
      <c r="M14">
        <v>1.78987842798233</v>
      </c>
      <c r="N14" s="1">
        <v>352</v>
      </c>
      <c r="P14" s="1">
        <v>12</v>
      </c>
      <c r="Q14" s="10">
        <v>4.1</v>
      </c>
      <c r="R14" s="10">
        <v>3.8</v>
      </c>
      <c r="S14" s="11">
        <v>2.06</v>
      </c>
      <c r="T14" s="11">
        <v>2.2</v>
      </c>
      <c r="U14" s="11">
        <v>0.16</v>
      </c>
      <c r="V14" s="11">
        <v>0.07</v>
      </c>
      <c r="W14" s="10">
        <v>31.8</v>
      </c>
      <c r="X14" s="10">
        <v>30.4</v>
      </c>
      <c r="Y14" s="11">
        <v>1.9</v>
      </c>
      <c r="Z14" s="11">
        <v>1.92</v>
      </c>
      <c r="AA14" s="9">
        <v>0</v>
      </c>
      <c r="AB14" s="9">
        <v>0</v>
      </c>
      <c r="AC14" s="1">
        <v>372</v>
      </c>
      <c r="AD14" s="1">
        <v>343</v>
      </c>
    </row>
    <row r="15" ht="16.5" spans="1:30">
      <c r="A15" s="1">
        <v>14</v>
      </c>
      <c r="B15" s="1" t="s">
        <v>35</v>
      </c>
      <c r="C15" s="1">
        <v>2154.13998038472</v>
      </c>
      <c r="D15" s="1">
        <v>377</v>
      </c>
      <c r="E15" s="5" t="s">
        <v>26</v>
      </c>
      <c r="F15" s="1">
        <f>QUARTILE(C2:C31,3)</f>
        <v>4044.49815988874</v>
      </c>
      <c r="G15" s="4">
        <f>QUARTILE(C33:C62,3)</f>
        <v>8758.49373914792</v>
      </c>
      <c r="I15">
        <v>4.21918970556234</v>
      </c>
      <c r="J15">
        <v>2.03067881004122</v>
      </c>
      <c r="K15">
        <v>0.146792046328271</v>
      </c>
      <c r="L15">
        <v>38.4040197010194</v>
      </c>
      <c r="M15">
        <v>1.98097612344007</v>
      </c>
      <c r="N15" s="1">
        <v>377</v>
      </c>
      <c r="P15" s="1">
        <v>13</v>
      </c>
      <c r="Q15" s="10">
        <v>6.6</v>
      </c>
      <c r="R15" s="10">
        <v>5.6</v>
      </c>
      <c r="S15" s="11">
        <v>2.07</v>
      </c>
      <c r="T15" s="11">
        <v>2.03</v>
      </c>
      <c r="U15" s="11">
        <v>0.32</v>
      </c>
      <c r="V15" s="11">
        <v>0.06</v>
      </c>
      <c r="W15" s="10">
        <v>33.6</v>
      </c>
      <c r="X15" s="10">
        <v>37.2</v>
      </c>
      <c r="Y15" s="11">
        <v>1.89</v>
      </c>
      <c r="Z15" s="11">
        <v>1.79</v>
      </c>
      <c r="AA15" s="9">
        <v>0</v>
      </c>
      <c r="AB15" s="9">
        <v>0</v>
      </c>
      <c r="AC15" s="1">
        <v>360</v>
      </c>
      <c r="AD15" s="1">
        <v>352</v>
      </c>
    </row>
    <row r="16" spans="1:30">
      <c r="A16" s="1">
        <v>15</v>
      </c>
      <c r="B16" s="1" t="s">
        <v>36</v>
      </c>
      <c r="C16" s="1">
        <v>2863.26286618225</v>
      </c>
      <c r="D16" s="1">
        <v>378</v>
      </c>
      <c r="I16">
        <v>5.96938590705394</v>
      </c>
      <c r="J16">
        <v>2.05329926311969</v>
      </c>
      <c r="K16">
        <v>0.0845823585987091</v>
      </c>
      <c r="L16">
        <v>36.563257291913</v>
      </c>
      <c r="M16">
        <v>1.96303761005401</v>
      </c>
      <c r="N16" s="1">
        <v>378</v>
      </c>
      <c r="P16" s="1">
        <v>14</v>
      </c>
      <c r="Q16" s="10">
        <v>6.7</v>
      </c>
      <c r="R16" s="10">
        <v>4.2</v>
      </c>
      <c r="S16" s="11">
        <v>2.08</v>
      </c>
      <c r="T16" s="11">
        <v>2.03</v>
      </c>
      <c r="U16" s="11">
        <v>0.24</v>
      </c>
      <c r="V16" s="11">
        <v>0.15</v>
      </c>
      <c r="W16" s="10">
        <v>33.9</v>
      </c>
      <c r="X16" s="10">
        <v>38.4</v>
      </c>
      <c r="Y16" s="11">
        <v>1.89</v>
      </c>
      <c r="Z16" s="11">
        <v>1.98</v>
      </c>
      <c r="AA16" s="9">
        <v>0</v>
      </c>
      <c r="AB16" s="9">
        <v>0</v>
      </c>
      <c r="AC16" s="1">
        <v>357</v>
      </c>
      <c r="AD16" s="1">
        <v>377</v>
      </c>
    </row>
    <row r="17" spans="1:30">
      <c r="A17" s="1">
        <v>16</v>
      </c>
      <c r="B17" s="1" t="s">
        <v>37</v>
      </c>
      <c r="C17" s="1">
        <v>7144.05397187813</v>
      </c>
      <c r="D17" s="1">
        <v>384</v>
      </c>
      <c r="I17">
        <v>7.48433407015312</v>
      </c>
      <c r="J17">
        <v>2.01854511378449</v>
      </c>
      <c r="K17">
        <v>0.101838435537415</v>
      </c>
      <c r="L17">
        <v>34.2799261969667</v>
      </c>
      <c r="M17">
        <v>1.9185655408453</v>
      </c>
      <c r="N17" s="1">
        <v>384</v>
      </c>
      <c r="P17" s="1">
        <v>15</v>
      </c>
      <c r="Q17" s="10">
        <v>0.1</v>
      </c>
      <c r="R17" s="10">
        <v>6</v>
      </c>
      <c r="S17" s="11">
        <v>2.18</v>
      </c>
      <c r="T17" s="11">
        <v>2.05</v>
      </c>
      <c r="U17" s="11">
        <v>0.09</v>
      </c>
      <c r="V17" s="11">
        <v>0.08</v>
      </c>
      <c r="W17" s="10">
        <v>34.3</v>
      </c>
      <c r="X17" s="10">
        <v>36.6</v>
      </c>
      <c r="Y17" s="11">
        <v>1.89</v>
      </c>
      <c r="Z17" s="11">
        <v>1.96</v>
      </c>
      <c r="AA17" s="9">
        <v>0</v>
      </c>
      <c r="AB17" s="9">
        <v>0</v>
      </c>
      <c r="AC17" s="1">
        <v>242</v>
      </c>
      <c r="AD17" s="1">
        <v>378</v>
      </c>
    </row>
    <row r="18" spans="1:30">
      <c r="A18" s="1">
        <v>17</v>
      </c>
      <c r="B18" s="1" t="s">
        <v>38</v>
      </c>
      <c r="C18" s="1">
        <v>2272.77152510592</v>
      </c>
      <c r="D18" s="1">
        <v>365</v>
      </c>
      <c r="I18">
        <v>2.09224994480609</v>
      </c>
      <c r="J18">
        <v>2.01772598922252</v>
      </c>
      <c r="K18">
        <v>0.0739361643791198</v>
      </c>
      <c r="L18">
        <v>32.5588267445564</v>
      </c>
      <c r="M18">
        <v>1.92398302257061</v>
      </c>
      <c r="N18" s="1">
        <v>365</v>
      </c>
      <c r="P18" s="1">
        <v>16</v>
      </c>
      <c r="Q18" s="10">
        <v>7.8</v>
      </c>
      <c r="R18" s="10">
        <v>7.5</v>
      </c>
      <c r="S18" s="11">
        <v>2.03</v>
      </c>
      <c r="T18" s="11">
        <v>2.02</v>
      </c>
      <c r="U18" s="11">
        <v>0.34</v>
      </c>
      <c r="V18" s="11">
        <v>0.1</v>
      </c>
      <c r="W18" s="10">
        <v>32.2</v>
      </c>
      <c r="X18" s="10">
        <v>34.3</v>
      </c>
      <c r="Y18" s="11">
        <v>1.91</v>
      </c>
      <c r="Z18" s="11">
        <v>1.92</v>
      </c>
      <c r="AA18" s="9">
        <v>0</v>
      </c>
      <c r="AB18" s="9">
        <v>0</v>
      </c>
      <c r="AC18" s="1">
        <v>375</v>
      </c>
      <c r="AD18" s="1">
        <v>384</v>
      </c>
    </row>
    <row r="19" spans="1:30">
      <c r="A19" s="1">
        <v>18</v>
      </c>
      <c r="B19" s="1" t="s">
        <v>39</v>
      </c>
      <c r="C19" s="1">
        <v>2961.36914364099</v>
      </c>
      <c r="D19" s="1">
        <v>352</v>
      </c>
      <c r="I19">
        <v>1.89013411144524</v>
      </c>
      <c r="J19">
        <v>2.05795652634029</v>
      </c>
      <c r="K19">
        <v>0.379628476519689</v>
      </c>
      <c r="L19">
        <v>32.1782926460704</v>
      </c>
      <c r="M19">
        <v>1.94781104170099</v>
      </c>
      <c r="N19" s="1">
        <v>352</v>
      </c>
      <c r="P19" s="1">
        <v>17</v>
      </c>
      <c r="Q19" s="10">
        <v>3.3</v>
      </c>
      <c r="R19" s="10">
        <v>2.1</v>
      </c>
      <c r="S19" s="11">
        <v>2.05</v>
      </c>
      <c r="T19" s="11">
        <v>2.02</v>
      </c>
      <c r="U19" s="11">
        <v>0.33</v>
      </c>
      <c r="V19" s="11">
        <v>0.07</v>
      </c>
      <c r="W19" s="10">
        <v>31.9</v>
      </c>
      <c r="X19" s="10">
        <v>32.6</v>
      </c>
      <c r="Y19" s="11">
        <v>1.94</v>
      </c>
      <c r="Z19" s="11">
        <v>1.92</v>
      </c>
      <c r="AA19" s="9">
        <v>0</v>
      </c>
      <c r="AB19" s="9">
        <v>0</v>
      </c>
      <c r="AC19" s="1">
        <v>373</v>
      </c>
      <c r="AD19" s="1">
        <v>365</v>
      </c>
    </row>
    <row r="20" spans="1:30">
      <c r="A20" s="1">
        <v>19</v>
      </c>
      <c r="B20" s="1" t="s">
        <v>40</v>
      </c>
      <c r="C20" s="1">
        <v>6169.93323470473</v>
      </c>
      <c r="D20" s="1">
        <v>352</v>
      </c>
      <c r="I20">
        <v>9.36436755955219</v>
      </c>
      <c r="J20">
        <v>2.08416211605072</v>
      </c>
      <c r="K20">
        <v>0.0850871056318283</v>
      </c>
      <c r="L20">
        <v>37.5911321938037</v>
      </c>
      <c r="M20">
        <v>1.88373792171478</v>
      </c>
      <c r="N20" s="1">
        <v>352</v>
      </c>
      <c r="P20" s="1">
        <v>18</v>
      </c>
      <c r="Q20" s="10">
        <v>2.9</v>
      </c>
      <c r="R20" s="10">
        <v>1.9</v>
      </c>
      <c r="S20" s="11">
        <v>2.22</v>
      </c>
      <c r="T20" s="11">
        <v>2.06</v>
      </c>
      <c r="U20" s="11">
        <v>0.68</v>
      </c>
      <c r="V20" s="11">
        <v>0.38</v>
      </c>
      <c r="W20" s="10">
        <v>32.8</v>
      </c>
      <c r="X20" s="10">
        <v>32.2</v>
      </c>
      <c r="Y20" s="11">
        <v>1.92</v>
      </c>
      <c r="Z20" s="11">
        <v>1.95</v>
      </c>
      <c r="AA20" s="9">
        <v>0</v>
      </c>
      <c r="AB20" s="9">
        <v>0</v>
      </c>
      <c r="AC20" s="1">
        <v>316</v>
      </c>
      <c r="AD20" s="1">
        <v>352</v>
      </c>
    </row>
    <row r="21" spans="1:30">
      <c r="A21" s="1">
        <v>20</v>
      </c>
      <c r="B21" s="1" t="s">
        <v>41</v>
      </c>
      <c r="C21" s="1">
        <v>1913.08224398064</v>
      </c>
      <c r="D21" s="1">
        <v>381</v>
      </c>
      <c r="I21">
        <v>5.54071972408475</v>
      </c>
      <c r="J21">
        <v>2.01735388875127</v>
      </c>
      <c r="K21">
        <v>0.162260963646098</v>
      </c>
      <c r="L21">
        <v>39.2745233261902</v>
      </c>
      <c r="M21">
        <v>1.98080045670156</v>
      </c>
      <c r="N21" s="1">
        <v>381</v>
      </c>
      <c r="P21" s="1">
        <v>19</v>
      </c>
      <c r="Q21" s="10">
        <v>7.9</v>
      </c>
      <c r="R21" s="10">
        <v>9.4</v>
      </c>
      <c r="S21" s="11">
        <v>2.08</v>
      </c>
      <c r="T21" s="11">
        <v>2.08</v>
      </c>
      <c r="U21" s="11">
        <v>0.24</v>
      </c>
      <c r="V21" s="11">
        <v>0.09</v>
      </c>
      <c r="W21" s="10">
        <v>36.7</v>
      </c>
      <c r="X21" s="10">
        <v>37.6</v>
      </c>
      <c r="Y21" s="11">
        <v>1.93</v>
      </c>
      <c r="Z21" s="11">
        <v>1.88</v>
      </c>
      <c r="AA21" s="9">
        <v>0</v>
      </c>
      <c r="AB21" s="9">
        <v>0</v>
      </c>
      <c r="AC21" s="1">
        <v>358</v>
      </c>
      <c r="AD21" s="1">
        <v>352</v>
      </c>
    </row>
    <row r="22" spans="1:30">
      <c r="A22" s="1">
        <v>21</v>
      </c>
      <c r="B22" s="1" t="s">
        <v>42</v>
      </c>
      <c r="C22" s="1">
        <v>5007.81310032564</v>
      </c>
      <c r="D22" s="1">
        <v>378</v>
      </c>
      <c r="I22">
        <v>7.5885201227972</v>
      </c>
      <c r="J22">
        <v>2.08032650739045</v>
      </c>
      <c r="K22">
        <v>0.16969179856904</v>
      </c>
      <c r="L22">
        <v>32.8576705645845</v>
      </c>
      <c r="M22">
        <v>1.97640760202019</v>
      </c>
      <c r="N22" s="1">
        <v>378</v>
      </c>
      <c r="P22" s="1">
        <v>20</v>
      </c>
      <c r="Q22" s="10">
        <v>8.8</v>
      </c>
      <c r="R22" s="10">
        <v>5.5</v>
      </c>
      <c r="S22" s="11">
        <v>2.1</v>
      </c>
      <c r="T22" s="11">
        <v>2.02</v>
      </c>
      <c r="U22" s="11">
        <v>0.31</v>
      </c>
      <c r="V22" s="11">
        <v>0.16</v>
      </c>
      <c r="W22" s="10">
        <v>36.8</v>
      </c>
      <c r="X22" s="10">
        <v>39.3</v>
      </c>
      <c r="Y22" s="11">
        <v>1.87</v>
      </c>
      <c r="Z22" s="11">
        <v>1.98</v>
      </c>
      <c r="AA22" s="9">
        <v>0</v>
      </c>
      <c r="AB22" s="9">
        <v>0</v>
      </c>
      <c r="AC22" s="1">
        <v>334</v>
      </c>
      <c r="AD22" s="1">
        <v>381</v>
      </c>
    </row>
    <row r="23" spans="1:30">
      <c r="A23" s="1">
        <v>22</v>
      </c>
      <c r="B23" s="1" t="s">
        <v>43</v>
      </c>
      <c r="C23" s="1">
        <v>2521.78350759101</v>
      </c>
      <c r="D23" s="1">
        <v>383</v>
      </c>
      <c r="I23">
        <v>3.80761228865203</v>
      </c>
      <c r="J23">
        <v>2.02370931926627</v>
      </c>
      <c r="K23">
        <v>0.181181001890219</v>
      </c>
      <c r="L23">
        <v>32.3132464626116</v>
      </c>
      <c r="M23">
        <v>1.9308558272408</v>
      </c>
      <c r="N23" s="1">
        <v>383</v>
      </c>
      <c r="P23" s="1">
        <v>21</v>
      </c>
      <c r="Q23" s="10">
        <v>6.8</v>
      </c>
      <c r="R23" s="10">
        <v>7.6</v>
      </c>
      <c r="S23" s="11">
        <v>2.14</v>
      </c>
      <c r="T23" s="11">
        <v>2.08</v>
      </c>
      <c r="U23" s="11">
        <v>0.14</v>
      </c>
      <c r="V23" s="11">
        <v>0.17</v>
      </c>
      <c r="W23" s="10">
        <v>41.2</v>
      </c>
      <c r="X23" s="10">
        <v>32.9</v>
      </c>
      <c r="Y23" s="11">
        <v>1.94</v>
      </c>
      <c r="Z23" s="11">
        <v>1.98</v>
      </c>
      <c r="AA23" s="9">
        <v>0</v>
      </c>
      <c r="AB23" s="9">
        <v>0</v>
      </c>
      <c r="AC23" s="1">
        <v>336</v>
      </c>
      <c r="AD23" s="1">
        <v>378</v>
      </c>
    </row>
    <row r="24" spans="1:30">
      <c r="A24" s="1">
        <v>23</v>
      </c>
      <c r="B24" s="1" t="s">
        <v>44</v>
      </c>
      <c r="C24" s="1">
        <v>2514.24412537379</v>
      </c>
      <c r="D24" s="1">
        <v>374</v>
      </c>
      <c r="I24">
        <v>5.66595694584621</v>
      </c>
      <c r="J24">
        <v>2.00833009122881</v>
      </c>
      <c r="K24">
        <v>0.233239552641248</v>
      </c>
      <c r="L24">
        <v>39.7427562924027</v>
      </c>
      <c r="M24">
        <v>1.93630404430297</v>
      </c>
      <c r="N24" s="1">
        <v>374</v>
      </c>
      <c r="P24" s="1">
        <v>22</v>
      </c>
      <c r="Q24" s="10">
        <v>4.3</v>
      </c>
      <c r="R24" s="10">
        <v>3.8</v>
      </c>
      <c r="S24" s="11">
        <v>2.03</v>
      </c>
      <c r="T24" s="11">
        <v>2.02</v>
      </c>
      <c r="U24" s="11">
        <v>0.52</v>
      </c>
      <c r="V24" s="11">
        <v>0.18</v>
      </c>
      <c r="W24" s="10">
        <v>32.9</v>
      </c>
      <c r="X24" s="10">
        <v>32.3</v>
      </c>
      <c r="Y24" s="11">
        <v>1.84</v>
      </c>
      <c r="Z24" s="11">
        <v>1.93</v>
      </c>
      <c r="AA24" s="9">
        <v>0</v>
      </c>
      <c r="AB24" s="9">
        <v>0</v>
      </c>
      <c r="AC24" s="1">
        <v>363</v>
      </c>
      <c r="AD24" s="1">
        <v>383</v>
      </c>
    </row>
    <row r="25" spans="1:30">
      <c r="A25" s="1">
        <v>24</v>
      </c>
      <c r="B25" s="1" t="s">
        <v>45</v>
      </c>
      <c r="C25" s="1">
        <v>2315.35694675792</v>
      </c>
      <c r="D25" s="1">
        <v>383</v>
      </c>
      <c r="I25">
        <v>5.68905973558247</v>
      </c>
      <c r="J25">
        <v>2.06262568873372</v>
      </c>
      <c r="K25">
        <v>0.150535557587391</v>
      </c>
      <c r="L25">
        <v>33.5208662288742</v>
      </c>
      <c r="M25">
        <v>1.98842430364408</v>
      </c>
      <c r="N25" s="1">
        <v>383</v>
      </c>
      <c r="P25" s="1">
        <v>23</v>
      </c>
      <c r="Q25" s="10">
        <v>5.8</v>
      </c>
      <c r="R25" s="10">
        <v>5.7</v>
      </c>
      <c r="S25" s="11">
        <v>2.07</v>
      </c>
      <c r="T25" s="11">
        <v>2.01</v>
      </c>
      <c r="U25" s="11">
        <v>0.17</v>
      </c>
      <c r="V25" s="11">
        <v>0.23</v>
      </c>
      <c r="W25" s="10">
        <v>35.4</v>
      </c>
      <c r="X25" s="10">
        <v>39.7</v>
      </c>
      <c r="Y25" s="11">
        <v>1.86</v>
      </c>
      <c r="Z25" s="11">
        <v>1.94</v>
      </c>
      <c r="AA25" s="9">
        <v>0</v>
      </c>
      <c r="AB25" s="9">
        <v>0</v>
      </c>
      <c r="AC25" s="1">
        <v>357</v>
      </c>
      <c r="AD25" s="1">
        <v>374</v>
      </c>
    </row>
    <row r="26" spans="1:30">
      <c r="A26" s="1">
        <v>25</v>
      </c>
      <c r="B26" s="1" t="s">
        <v>46</v>
      </c>
      <c r="C26" s="1">
        <v>2887.94469856003</v>
      </c>
      <c r="D26" s="1">
        <v>359</v>
      </c>
      <c r="I26">
        <v>2.40515374996041</v>
      </c>
      <c r="J26">
        <v>2.08880780887226</v>
      </c>
      <c r="K26">
        <v>0.434944065790012</v>
      </c>
      <c r="L26">
        <v>30.2460469731978</v>
      </c>
      <c r="M26">
        <v>1.95160868998984</v>
      </c>
      <c r="N26" s="1">
        <v>359</v>
      </c>
      <c r="P26" s="1">
        <v>24</v>
      </c>
      <c r="Q26" s="10">
        <v>9.3</v>
      </c>
      <c r="R26" s="10">
        <v>5.7</v>
      </c>
      <c r="S26" s="11">
        <v>2.03</v>
      </c>
      <c r="T26" s="11">
        <v>2.06</v>
      </c>
      <c r="U26" s="11">
        <v>0.27</v>
      </c>
      <c r="V26" s="11">
        <v>0.15</v>
      </c>
      <c r="W26" s="10">
        <v>34</v>
      </c>
      <c r="X26" s="10">
        <v>33.5</v>
      </c>
      <c r="Y26" s="11">
        <v>1.81</v>
      </c>
      <c r="Z26" s="11">
        <v>1.99</v>
      </c>
      <c r="AA26" s="9">
        <v>0</v>
      </c>
      <c r="AB26" s="9">
        <v>0</v>
      </c>
      <c r="AC26" s="1">
        <v>353</v>
      </c>
      <c r="AD26" s="1">
        <v>383</v>
      </c>
    </row>
    <row r="27" spans="1:30">
      <c r="A27" s="1">
        <v>26</v>
      </c>
      <c r="B27" s="1" t="s">
        <v>47</v>
      </c>
      <c r="C27" s="1">
        <v>3447.42706182217</v>
      </c>
      <c r="D27" s="1">
        <v>366</v>
      </c>
      <c r="I27">
        <v>2.9607909330318</v>
      </c>
      <c r="J27">
        <v>2.06364211206728</v>
      </c>
      <c r="K27">
        <v>0.0792159202943236</v>
      </c>
      <c r="L27">
        <v>35.1145875238092</v>
      </c>
      <c r="M27">
        <v>1.94988987027733</v>
      </c>
      <c r="N27" s="1">
        <v>366</v>
      </c>
      <c r="P27" s="1">
        <v>25</v>
      </c>
      <c r="Q27" s="10">
        <v>8.1</v>
      </c>
      <c r="R27" s="10">
        <v>2.4</v>
      </c>
      <c r="S27" s="11">
        <v>2.06</v>
      </c>
      <c r="T27" s="11">
        <v>2.09</v>
      </c>
      <c r="U27" s="11">
        <v>0.36</v>
      </c>
      <c r="V27" s="11">
        <v>0.43</v>
      </c>
      <c r="W27" s="10">
        <v>30.9</v>
      </c>
      <c r="X27" s="10">
        <v>30.2</v>
      </c>
      <c r="Y27" s="11">
        <v>1.9</v>
      </c>
      <c r="Z27" s="11">
        <v>1.95</v>
      </c>
      <c r="AA27" s="9">
        <v>0</v>
      </c>
      <c r="AB27" s="9">
        <v>0</v>
      </c>
      <c r="AC27" s="1">
        <v>365</v>
      </c>
      <c r="AD27" s="1">
        <v>359</v>
      </c>
    </row>
    <row r="28" spans="1:30">
      <c r="A28" s="1">
        <v>27</v>
      </c>
      <c r="B28" s="1" t="s">
        <v>48</v>
      </c>
      <c r="C28" s="1">
        <v>4147.79205364681</v>
      </c>
      <c r="D28" s="1">
        <v>357</v>
      </c>
      <c r="I28">
        <v>6.96921226382255</v>
      </c>
      <c r="J28">
        <v>2.0826468616724</v>
      </c>
      <c r="K28">
        <v>0.132923662662506</v>
      </c>
      <c r="L28">
        <v>38.2647670954465</v>
      </c>
      <c r="M28">
        <v>1.92260044813156</v>
      </c>
      <c r="N28" s="1">
        <v>357</v>
      </c>
      <c r="P28" s="1">
        <v>26</v>
      </c>
      <c r="Q28" s="10">
        <v>5.1</v>
      </c>
      <c r="R28" s="10">
        <v>3</v>
      </c>
      <c r="S28" s="11">
        <v>2.13</v>
      </c>
      <c r="T28" s="11">
        <v>2.06</v>
      </c>
      <c r="U28" s="11">
        <v>0.23</v>
      </c>
      <c r="V28" s="11">
        <v>0.08</v>
      </c>
      <c r="W28" s="10">
        <v>33.9</v>
      </c>
      <c r="X28" s="10">
        <v>35.1</v>
      </c>
      <c r="Y28" s="11">
        <v>1.88</v>
      </c>
      <c r="Z28" s="11">
        <v>1.95</v>
      </c>
      <c r="AA28" s="9">
        <v>0</v>
      </c>
      <c r="AB28" s="9">
        <v>0</v>
      </c>
      <c r="AC28" s="1">
        <v>344</v>
      </c>
      <c r="AD28" s="1">
        <v>366</v>
      </c>
    </row>
    <row r="29" spans="1:30">
      <c r="A29" s="1">
        <v>28</v>
      </c>
      <c r="B29" s="1" t="s">
        <v>49</v>
      </c>
      <c r="C29" s="1">
        <v>2076.74353353946</v>
      </c>
      <c r="D29" s="1">
        <v>376</v>
      </c>
      <c r="I29">
        <v>4.98338808946101</v>
      </c>
      <c r="J29">
        <v>2.02795987866146</v>
      </c>
      <c r="K29">
        <v>0.113002214874727</v>
      </c>
      <c r="L29">
        <v>40.0060640968728</v>
      </c>
      <c r="M29">
        <v>1.97063383762724</v>
      </c>
      <c r="N29" s="1">
        <v>376</v>
      </c>
      <c r="P29" s="1">
        <v>27</v>
      </c>
      <c r="Q29" s="10">
        <v>7.5</v>
      </c>
      <c r="R29" s="10">
        <v>7</v>
      </c>
      <c r="S29" s="11">
        <v>2.02</v>
      </c>
      <c r="T29" s="11">
        <v>2.08</v>
      </c>
      <c r="U29" s="11">
        <v>0.4</v>
      </c>
      <c r="V29" s="11">
        <v>0.13</v>
      </c>
      <c r="W29" s="10">
        <v>34.2</v>
      </c>
      <c r="X29" s="10">
        <v>38.3</v>
      </c>
      <c r="Y29" s="11">
        <v>1.82</v>
      </c>
      <c r="Z29" s="11">
        <v>1.92</v>
      </c>
      <c r="AA29" s="9">
        <v>0</v>
      </c>
      <c r="AB29" s="9">
        <v>0</v>
      </c>
      <c r="AC29" s="1">
        <v>355</v>
      </c>
      <c r="AD29" s="1">
        <v>357</v>
      </c>
    </row>
    <row r="30" spans="1:30">
      <c r="A30" s="1">
        <v>29</v>
      </c>
      <c r="B30" s="1" t="s">
        <v>50</v>
      </c>
      <c r="C30" s="1">
        <v>2777.68006557257</v>
      </c>
      <c r="D30" s="1">
        <v>371</v>
      </c>
      <c r="I30">
        <v>2.28769721617319</v>
      </c>
      <c r="J30">
        <v>2.02799715800405</v>
      </c>
      <c r="K30">
        <v>0.100142174398376</v>
      </c>
      <c r="L30">
        <v>32.8085497443863</v>
      </c>
      <c r="M30">
        <v>1.97803238905937</v>
      </c>
      <c r="N30" s="1">
        <v>371</v>
      </c>
      <c r="P30" s="1">
        <v>28</v>
      </c>
      <c r="Q30" s="10">
        <v>3.6</v>
      </c>
      <c r="R30" s="10">
        <v>5</v>
      </c>
      <c r="S30" s="11">
        <v>2</v>
      </c>
      <c r="T30" s="11">
        <v>2.03</v>
      </c>
      <c r="U30" s="11">
        <v>0.16</v>
      </c>
      <c r="V30" s="11">
        <v>0.11</v>
      </c>
      <c r="W30" s="10">
        <v>35.8</v>
      </c>
      <c r="X30" s="10">
        <v>40</v>
      </c>
      <c r="Y30" s="11">
        <v>1.96</v>
      </c>
      <c r="Z30" s="11">
        <v>1.97</v>
      </c>
      <c r="AA30" s="9">
        <v>0</v>
      </c>
      <c r="AB30" s="9">
        <v>0</v>
      </c>
      <c r="AC30" s="1">
        <v>384</v>
      </c>
      <c r="AD30" s="1">
        <v>376</v>
      </c>
    </row>
    <row r="31" spans="1:30">
      <c r="A31" s="1">
        <v>30</v>
      </c>
      <c r="B31" s="1" t="s">
        <v>51</v>
      </c>
      <c r="C31" s="1">
        <v>2942.37163674555</v>
      </c>
      <c r="D31" s="1">
        <v>365</v>
      </c>
      <c r="I31">
        <v>6.55404197679381</v>
      </c>
      <c r="J31">
        <v>2.11455284588228</v>
      </c>
      <c r="K31">
        <v>0.426944017273822</v>
      </c>
      <c r="L31">
        <v>30.5733210686594</v>
      </c>
      <c r="M31">
        <v>1.96188230370258</v>
      </c>
      <c r="N31" s="1">
        <v>365</v>
      </c>
      <c r="P31" s="1">
        <v>29</v>
      </c>
      <c r="Q31" s="10">
        <v>6.9</v>
      </c>
      <c r="R31" s="10">
        <v>2.3</v>
      </c>
      <c r="S31" s="11">
        <v>2.12</v>
      </c>
      <c r="T31" s="11">
        <v>2.03</v>
      </c>
      <c r="U31" s="11">
        <v>0.42</v>
      </c>
      <c r="V31" s="11">
        <v>0.1</v>
      </c>
      <c r="W31" s="10">
        <v>36.5</v>
      </c>
      <c r="X31" s="10">
        <v>32.8</v>
      </c>
      <c r="Y31" s="11">
        <v>1.87</v>
      </c>
      <c r="Z31" s="11">
        <v>1.98</v>
      </c>
      <c r="AA31" s="9">
        <v>0</v>
      </c>
      <c r="AB31" s="9">
        <v>0</v>
      </c>
      <c r="AC31" s="1">
        <v>328</v>
      </c>
      <c r="AD31" s="1">
        <v>371</v>
      </c>
    </row>
    <row r="32" spans="2:30">
      <c r="B32" s="2" t="s">
        <v>52</v>
      </c>
      <c r="C32" s="2" t="s">
        <v>53</v>
      </c>
      <c r="P32" s="1">
        <v>30</v>
      </c>
      <c r="Q32" s="10">
        <v>5.4</v>
      </c>
      <c r="R32" s="10">
        <v>6.6</v>
      </c>
      <c r="S32" s="11">
        <v>2.11</v>
      </c>
      <c r="T32" s="11">
        <v>2.11</v>
      </c>
      <c r="U32" s="11">
        <v>0.4</v>
      </c>
      <c r="V32" s="11">
        <v>0.43</v>
      </c>
      <c r="W32" s="10">
        <v>33.2</v>
      </c>
      <c r="X32" s="10">
        <v>30.6</v>
      </c>
      <c r="Y32" s="11">
        <v>1.84</v>
      </c>
      <c r="Z32" s="11">
        <v>1.96</v>
      </c>
      <c r="AA32" s="9">
        <v>0</v>
      </c>
      <c r="AB32" s="9">
        <v>0</v>
      </c>
      <c r="AC32" s="1">
        <v>339</v>
      </c>
      <c r="AD32" s="1">
        <v>365</v>
      </c>
    </row>
    <row r="33" spans="2:14">
      <c r="B33" s="1" t="s">
        <v>54</v>
      </c>
      <c r="C33" s="1">
        <v>19136.5699830554</v>
      </c>
      <c r="D33" s="1">
        <v>284</v>
      </c>
      <c r="I33">
        <v>3.14097695381777</v>
      </c>
      <c r="J33">
        <v>2.31942703215446</v>
      </c>
      <c r="K33">
        <v>0.576943370513618</v>
      </c>
      <c r="L33">
        <v>33.8648617345133</v>
      </c>
      <c r="M33">
        <v>1.90703163011103</v>
      </c>
      <c r="N33" s="1">
        <v>284</v>
      </c>
    </row>
    <row r="34" spans="2:28">
      <c r="B34" s="1" t="s">
        <v>55</v>
      </c>
      <c r="C34" s="1">
        <v>6710.83348751441</v>
      </c>
      <c r="D34" s="1">
        <v>351</v>
      </c>
      <c r="I34">
        <v>4.95028733724995</v>
      </c>
      <c r="J34">
        <v>2.08059091634164</v>
      </c>
      <c r="K34">
        <v>0.315957428236777</v>
      </c>
      <c r="L34">
        <v>34.9899693892654</v>
      </c>
      <c r="M34">
        <v>1.87260908464458</v>
      </c>
      <c r="N34" s="1">
        <v>351</v>
      </c>
      <c r="P34" s="9" t="s">
        <v>56</v>
      </c>
      <c r="Q34" s="9" t="s">
        <v>57</v>
      </c>
      <c r="R34" s="9"/>
      <c r="S34" s="9" t="s">
        <v>20</v>
      </c>
      <c r="T34" s="9"/>
      <c r="U34" s="9" t="s">
        <v>15</v>
      </c>
      <c r="V34" s="9"/>
      <c r="W34" s="9" t="s">
        <v>18</v>
      </c>
      <c r="X34" s="9"/>
      <c r="Y34" s="9" t="s">
        <v>24</v>
      </c>
      <c r="Z34" s="9"/>
      <c r="AA34" s="9" t="s">
        <v>26</v>
      </c>
      <c r="AB34" s="9"/>
    </row>
    <row r="35" spans="2:28">
      <c r="B35" s="1" t="s">
        <v>58</v>
      </c>
      <c r="C35" s="1">
        <v>3391.96645638569</v>
      </c>
      <c r="D35" s="1">
        <v>384</v>
      </c>
      <c r="I35">
        <v>4.0058665536344</v>
      </c>
      <c r="J35">
        <v>2.00360550358891</v>
      </c>
      <c r="K35">
        <v>0.527726660715416</v>
      </c>
      <c r="L35">
        <v>31.7295650625601</v>
      </c>
      <c r="M35">
        <v>1.9212912057992</v>
      </c>
      <c r="N35" s="1">
        <v>384</v>
      </c>
      <c r="P35" s="9"/>
      <c r="Q35" s="9" t="s">
        <v>59</v>
      </c>
      <c r="R35" s="9" t="s">
        <v>29</v>
      </c>
      <c r="S35" s="9" t="s">
        <v>59</v>
      </c>
      <c r="T35" s="9" t="s">
        <v>29</v>
      </c>
      <c r="U35" s="9" t="s">
        <v>59</v>
      </c>
      <c r="V35" s="9" t="s">
        <v>29</v>
      </c>
      <c r="W35" s="9" t="s">
        <v>59</v>
      </c>
      <c r="X35" s="9" t="s">
        <v>29</v>
      </c>
      <c r="Y35" s="9" t="s">
        <v>59</v>
      </c>
      <c r="Z35" s="9" t="s">
        <v>29</v>
      </c>
      <c r="AA35" s="9" t="s">
        <v>59</v>
      </c>
      <c r="AB35" s="9" t="s">
        <v>29</v>
      </c>
    </row>
    <row r="36" spans="2:28">
      <c r="B36" s="1" t="s">
        <v>60</v>
      </c>
      <c r="C36" s="1">
        <v>7142.82282597339</v>
      </c>
      <c r="D36" s="1">
        <v>339</v>
      </c>
      <c r="I36">
        <v>8.07414564477132</v>
      </c>
      <c r="J36">
        <v>2.06476398008063</v>
      </c>
      <c r="K36">
        <v>0.428239759866778</v>
      </c>
      <c r="L36">
        <v>34.9327262305698</v>
      </c>
      <c r="M36">
        <v>1.83179264843957</v>
      </c>
      <c r="N36" s="1">
        <v>339</v>
      </c>
      <c r="P36" s="9" t="s">
        <v>5</v>
      </c>
      <c r="Q36" s="9">
        <f>AVERAGE(D33:D62)</f>
        <v>346</v>
      </c>
      <c r="R36" s="11">
        <v>7056.32</v>
      </c>
      <c r="S36" s="9">
        <f>MEDIAN(D33:D62)</f>
        <v>352</v>
      </c>
      <c r="T36" s="11">
        <v>6489.23</v>
      </c>
      <c r="U36" s="9">
        <f>MAX(D33:D62)</f>
        <v>384</v>
      </c>
      <c r="V36" s="11">
        <v>19136.57</v>
      </c>
      <c r="W36" s="9">
        <f>MIN(D33:D62)</f>
        <v>242</v>
      </c>
      <c r="X36" s="11">
        <v>1914.78</v>
      </c>
      <c r="Y36" s="9">
        <f>QUARTILE(D33:D62,1)</f>
        <v>334.5</v>
      </c>
      <c r="Z36" s="11">
        <v>4823.5</v>
      </c>
      <c r="AA36" s="9">
        <f>QUARTILE(D33:D62,3)</f>
        <v>362.25</v>
      </c>
      <c r="AB36" s="11">
        <v>8758.49</v>
      </c>
    </row>
    <row r="37" spans="2:28">
      <c r="B37" s="1" t="s">
        <v>61</v>
      </c>
      <c r="C37" s="1">
        <v>5301.37659868289</v>
      </c>
      <c r="D37" s="1">
        <v>353</v>
      </c>
      <c r="I37">
        <v>4.86030782759189</v>
      </c>
      <c r="J37">
        <v>2.04313427209854</v>
      </c>
      <c r="K37">
        <v>0.182701587677001</v>
      </c>
      <c r="L37">
        <v>35.5258411765098</v>
      </c>
      <c r="M37">
        <v>1.81400991976261</v>
      </c>
      <c r="N37" s="1">
        <v>353</v>
      </c>
      <c r="P37" s="9" t="s">
        <v>16</v>
      </c>
      <c r="Q37" s="9">
        <f>AVERAGE(D2:D31)</f>
        <v>369.533333333333</v>
      </c>
      <c r="R37" s="11">
        <v>3527.62</v>
      </c>
      <c r="S37" s="9">
        <f>MEDIAN(D2:D31)</f>
        <v>374.5</v>
      </c>
      <c r="T37" s="11">
        <v>2863.82</v>
      </c>
      <c r="U37" s="9">
        <f>MAX(D2:D31)</f>
        <v>392</v>
      </c>
      <c r="V37" s="11">
        <v>8610.52</v>
      </c>
      <c r="W37" s="9">
        <f>MIN(D2:D31)</f>
        <v>318</v>
      </c>
      <c r="X37" s="11">
        <v>1854.14</v>
      </c>
      <c r="Y37" s="9">
        <f>QUARTILE(D2:D31,1)</f>
        <v>360.5</v>
      </c>
      <c r="Z37" s="11">
        <v>2516.13</v>
      </c>
      <c r="AA37" s="9">
        <f>QUARTILE(D2:D31,3)</f>
        <v>380.5</v>
      </c>
      <c r="AB37" s="11">
        <v>4044.5</v>
      </c>
    </row>
    <row r="38" spans="2:14">
      <c r="B38" s="1" t="s">
        <v>62</v>
      </c>
      <c r="C38" s="1">
        <v>3336.49631416765</v>
      </c>
      <c r="D38" s="1">
        <v>381</v>
      </c>
      <c r="I38">
        <v>4.14112323444087</v>
      </c>
      <c r="J38">
        <v>2.04292522999458</v>
      </c>
      <c r="K38">
        <v>0.275105633016492</v>
      </c>
      <c r="L38">
        <v>31.7680032927401</v>
      </c>
      <c r="M38">
        <v>1.94200935096778</v>
      </c>
      <c r="N38" s="1">
        <v>381</v>
      </c>
    </row>
    <row r="39" spans="2:14">
      <c r="B39" s="1" t="s">
        <v>63</v>
      </c>
      <c r="C39" s="1">
        <v>11538.3522109628</v>
      </c>
      <c r="D39" s="1">
        <v>334</v>
      </c>
      <c r="I39">
        <v>8.09896746828263</v>
      </c>
      <c r="J39">
        <v>2.08205477325885</v>
      </c>
      <c r="K39">
        <v>0.413787495348714</v>
      </c>
      <c r="L39">
        <v>34.1997458296572</v>
      </c>
      <c r="M39">
        <v>1.81729485627894</v>
      </c>
      <c r="N39" s="1">
        <v>334</v>
      </c>
    </row>
    <row r="40" spans="2:14">
      <c r="B40" s="1" t="s">
        <v>64</v>
      </c>
      <c r="C40" s="1">
        <v>7487.67097147446</v>
      </c>
      <c r="D40" s="1">
        <v>343</v>
      </c>
      <c r="I40">
        <v>8.28568704751719</v>
      </c>
      <c r="J40">
        <v>2.11779987520696</v>
      </c>
      <c r="K40">
        <v>0.0284260872285813</v>
      </c>
      <c r="L40">
        <v>36.3953266793234</v>
      </c>
      <c r="M40">
        <v>1.84596544258625</v>
      </c>
      <c r="N40" s="1">
        <v>343</v>
      </c>
    </row>
    <row r="41" spans="2:14">
      <c r="B41" s="1" t="s">
        <v>65</v>
      </c>
      <c r="C41" s="1">
        <v>10074.6650102338</v>
      </c>
      <c r="D41" s="1">
        <v>331</v>
      </c>
      <c r="I41">
        <v>6.78785662459224</v>
      </c>
      <c r="J41">
        <v>2.13976753895085</v>
      </c>
      <c r="K41">
        <v>0.318749451776966</v>
      </c>
      <c r="L41">
        <v>38.7625034916838</v>
      </c>
      <c r="M41">
        <v>1.91870525109063</v>
      </c>
      <c r="N41" s="1">
        <v>331</v>
      </c>
    </row>
    <row r="42" spans="2:14">
      <c r="B42" s="1" t="s">
        <v>66</v>
      </c>
      <c r="C42" s="1">
        <v>8772.18842090129</v>
      </c>
      <c r="D42" s="1">
        <v>318</v>
      </c>
      <c r="I42">
        <v>1.65496054291725</v>
      </c>
      <c r="J42">
        <v>2.08137196302413</v>
      </c>
      <c r="K42">
        <v>0.538156315684318</v>
      </c>
      <c r="L42">
        <v>34.1553567796945</v>
      </c>
      <c r="M42">
        <v>1.81450694799423</v>
      </c>
      <c r="N42" s="1">
        <v>318</v>
      </c>
    </row>
    <row r="43" spans="2:14">
      <c r="B43" s="1" t="s">
        <v>67</v>
      </c>
      <c r="C43" s="1">
        <v>8240.68749033453</v>
      </c>
      <c r="D43" s="1">
        <v>351</v>
      </c>
      <c r="I43">
        <v>2.76331582347349</v>
      </c>
      <c r="J43">
        <v>2.07761071310363</v>
      </c>
      <c r="K43">
        <v>0.6085817788471</v>
      </c>
      <c r="L43">
        <v>33.6117276730205</v>
      </c>
      <c r="M43">
        <v>1.8968689588263</v>
      </c>
      <c r="N43" s="1">
        <v>351</v>
      </c>
    </row>
    <row r="44" spans="2:14">
      <c r="B44" s="1" t="s">
        <v>68</v>
      </c>
      <c r="C44" s="1">
        <v>4188.69198377645</v>
      </c>
      <c r="D44" s="1">
        <v>372</v>
      </c>
      <c r="I44">
        <v>4.12123872979979</v>
      </c>
      <c r="J44">
        <v>2.0612725923155</v>
      </c>
      <c r="K44">
        <v>0.162983071274175</v>
      </c>
      <c r="L44">
        <v>31.7586449735044</v>
      </c>
      <c r="M44">
        <v>1.89777982477642</v>
      </c>
      <c r="N44" s="1">
        <v>372</v>
      </c>
    </row>
    <row r="45" spans="2:14">
      <c r="B45" s="1" t="s">
        <v>69</v>
      </c>
      <c r="C45" s="1">
        <v>5419.71780985844</v>
      </c>
      <c r="D45" s="1">
        <v>360</v>
      </c>
      <c r="I45">
        <v>6.55463958957745</v>
      </c>
      <c r="J45">
        <v>2.06646604662177</v>
      </c>
      <c r="K45">
        <v>0.320542871595306</v>
      </c>
      <c r="L45">
        <v>33.5592115653703</v>
      </c>
      <c r="M45">
        <v>1.88531570372983</v>
      </c>
      <c r="N45" s="1">
        <v>360</v>
      </c>
    </row>
    <row r="46" spans="2:14">
      <c r="B46" s="1" t="s">
        <v>70</v>
      </c>
      <c r="C46" s="1">
        <v>5294.07739337228</v>
      </c>
      <c r="D46" s="1">
        <v>357</v>
      </c>
      <c r="I46">
        <v>6.69931958615779</v>
      </c>
      <c r="J46">
        <v>2.0812644213438</v>
      </c>
      <c r="K46">
        <v>0.235514685511589</v>
      </c>
      <c r="L46">
        <v>33.9122699350118</v>
      </c>
      <c r="M46">
        <v>1.88521075248718</v>
      </c>
      <c r="N46" s="1">
        <v>357</v>
      </c>
    </row>
    <row r="47" spans="2:14">
      <c r="B47" s="1" t="s">
        <v>71</v>
      </c>
      <c r="C47" s="1">
        <v>8717.40969388781</v>
      </c>
      <c r="D47" s="1">
        <v>242</v>
      </c>
      <c r="I47">
        <v>0.122439175844192</v>
      </c>
      <c r="J47">
        <v>2.18108773231506</v>
      </c>
      <c r="K47">
        <v>0.0885772854089737</v>
      </c>
      <c r="L47">
        <v>34.3108754754066</v>
      </c>
      <c r="M47">
        <v>1.89015445113182</v>
      </c>
      <c r="N47" s="1">
        <v>242</v>
      </c>
    </row>
    <row r="48" spans="2:14">
      <c r="B48" s="1" t="s">
        <v>72</v>
      </c>
      <c r="C48" s="1">
        <v>9179.76466326326</v>
      </c>
      <c r="D48" s="1">
        <v>375</v>
      </c>
      <c r="I48">
        <v>7.78219717240051</v>
      </c>
      <c r="J48">
        <v>2.02963395139232</v>
      </c>
      <c r="K48">
        <v>0.33737238995721</v>
      </c>
      <c r="L48">
        <v>32.1518611214545</v>
      </c>
      <c r="M48">
        <v>1.91076620526454</v>
      </c>
      <c r="N48" s="1">
        <v>375</v>
      </c>
    </row>
    <row r="49" spans="2:14">
      <c r="B49" s="1" t="s">
        <v>73</v>
      </c>
      <c r="C49" s="1">
        <v>3471.84540636435</v>
      </c>
      <c r="D49" s="1">
        <v>373</v>
      </c>
      <c r="I49">
        <v>3.25867887736221</v>
      </c>
      <c r="J49">
        <v>2.05253925531706</v>
      </c>
      <c r="K49">
        <v>0.334874279986373</v>
      </c>
      <c r="L49">
        <v>31.8739933540841</v>
      </c>
      <c r="M49">
        <v>1.94313028221949</v>
      </c>
      <c r="N49" s="1">
        <v>373</v>
      </c>
    </row>
    <row r="50" spans="2:14">
      <c r="B50" s="1" t="s">
        <v>74</v>
      </c>
      <c r="C50" s="1">
        <v>10119.7818794797</v>
      </c>
      <c r="D50" s="1">
        <v>316</v>
      </c>
      <c r="I50">
        <v>2.85394216501719</v>
      </c>
      <c r="J50">
        <v>2.22315220478184</v>
      </c>
      <c r="K50">
        <v>0.678285313432125</v>
      </c>
      <c r="L50">
        <v>32.8339351994535</v>
      </c>
      <c r="M50">
        <v>1.91769542467733</v>
      </c>
      <c r="N50" s="1">
        <v>316</v>
      </c>
    </row>
    <row r="51" spans="2:14">
      <c r="B51" s="1" t="s">
        <v>75</v>
      </c>
      <c r="C51" s="1">
        <v>5725.19061410444</v>
      </c>
      <c r="D51" s="1">
        <v>358</v>
      </c>
      <c r="I51">
        <v>7.91179695725441</v>
      </c>
      <c r="J51">
        <v>2.07824793457984</v>
      </c>
      <c r="K51">
        <v>0.244505286216735</v>
      </c>
      <c r="L51">
        <v>36.7020016312599</v>
      </c>
      <c r="M51">
        <v>1.9319420158863</v>
      </c>
      <c r="N51" s="1">
        <v>358</v>
      </c>
    </row>
    <row r="52" spans="2:14">
      <c r="B52" s="1" t="s">
        <v>76</v>
      </c>
      <c r="C52" s="1">
        <v>7374.5385454917</v>
      </c>
      <c r="D52" s="1">
        <v>334</v>
      </c>
      <c r="I52">
        <v>8.82439855479711</v>
      </c>
      <c r="J52">
        <v>2.10179455813252</v>
      </c>
      <c r="K52">
        <v>0.306083599687033</v>
      </c>
      <c r="L52">
        <v>36.7675371936057</v>
      </c>
      <c r="M52">
        <v>1.87381722610946</v>
      </c>
      <c r="N52" s="1">
        <v>334</v>
      </c>
    </row>
    <row r="53" spans="2:14">
      <c r="B53" s="1" t="s">
        <v>77</v>
      </c>
      <c r="C53" s="1">
        <v>11321.8737869698</v>
      </c>
      <c r="D53" s="1">
        <v>336</v>
      </c>
      <c r="I53">
        <v>6.82656944418037</v>
      </c>
      <c r="J53">
        <v>2.13849080742094</v>
      </c>
      <c r="K53">
        <v>0.139671103740677</v>
      </c>
      <c r="L53">
        <v>41.2385152021245</v>
      </c>
      <c r="M53">
        <v>1.93570048683856</v>
      </c>
      <c r="N53" s="1">
        <v>336</v>
      </c>
    </row>
    <row r="54" spans="2:14">
      <c r="B54" s="1" t="s">
        <v>78</v>
      </c>
      <c r="C54" s="1">
        <v>5300.73146253679</v>
      </c>
      <c r="D54" s="1">
        <v>363</v>
      </c>
      <c r="I54">
        <v>4.34256413741691</v>
      </c>
      <c r="J54">
        <v>2.03025084605944</v>
      </c>
      <c r="K54">
        <v>0.51503650112834</v>
      </c>
      <c r="L54">
        <v>32.8827670871222</v>
      </c>
      <c r="M54">
        <v>1.84463394564224</v>
      </c>
      <c r="N54" s="1">
        <v>363</v>
      </c>
    </row>
    <row r="55" spans="2:14">
      <c r="B55" s="1" t="s">
        <v>79</v>
      </c>
      <c r="C55" s="1">
        <v>4666.63760317761</v>
      </c>
      <c r="D55" s="1">
        <v>357</v>
      </c>
      <c r="I55">
        <v>5.76546027251443</v>
      </c>
      <c r="J55">
        <v>2.06587702827042</v>
      </c>
      <c r="K55">
        <v>0.168749412173808</v>
      </c>
      <c r="L55">
        <v>35.4101446366657</v>
      </c>
      <c r="M55">
        <v>1.8632854084843</v>
      </c>
      <c r="N55" s="1">
        <v>357</v>
      </c>
    </row>
    <row r="56" spans="2:14">
      <c r="B56" s="1" t="s">
        <v>80</v>
      </c>
      <c r="C56" s="1">
        <v>4583.77300762822</v>
      </c>
      <c r="D56" s="1">
        <v>353</v>
      </c>
      <c r="I56">
        <v>9.27529460742798</v>
      </c>
      <c r="J56">
        <v>2.02717655035667</v>
      </c>
      <c r="K56">
        <v>0.266394804673826</v>
      </c>
      <c r="L56">
        <v>34.0405948341335</v>
      </c>
      <c r="M56">
        <v>1.81381659808767</v>
      </c>
      <c r="N56" s="1">
        <v>353</v>
      </c>
    </row>
    <row r="57" spans="2:14">
      <c r="B57" s="1" t="s">
        <v>81</v>
      </c>
      <c r="C57" s="1">
        <v>3895.50355263626</v>
      </c>
      <c r="D57" s="1">
        <v>365</v>
      </c>
      <c r="I57">
        <v>8.06779219681158</v>
      </c>
      <c r="J57">
        <v>2.06308412416594</v>
      </c>
      <c r="K57">
        <v>0.363460464347475</v>
      </c>
      <c r="L57">
        <v>30.9496614429103</v>
      </c>
      <c r="M57">
        <v>1.89756305600146</v>
      </c>
      <c r="N57" s="1">
        <v>365</v>
      </c>
    </row>
    <row r="58" spans="2:14">
      <c r="B58" s="1" t="s">
        <v>82</v>
      </c>
      <c r="C58" s="1">
        <v>7096.29177008288</v>
      </c>
      <c r="D58" s="1">
        <v>344</v>
      </c>
      <c r="I58">
        <v>5.06687317585802</v>
      </c>
      <c r="J58">
        <v>2.12844135747883</v>
      </c>
      <c r="K58">
        <v>0.231532824691385</v>
      </c>
      <c r="L58">
        <v>33.9341280241851</v>
      </c>
      <c r="M58">
        <v>1.88176283462568</v>
      </c>
      <c r="N58" s="1">
        <v>344</v>
      </c>
    </row>
    <row r="59" spans="2:14">
      <c r="B59" s="1" t="s">
        <v>83</v>
      </c>
      <c r="C59" s="1">
        <v>5520.24702002809</v>
      </c>
      <c r="D59" s="1">
        <v>355</v>
      </c>
      <c r="I59">
        <v>7.5116100013256</v>
      </c>
      <c r="J59">
        <v>2.01818734407424</v>
      </c>
      <c r="K59">
        <v>0.4009460657835</v>
      </c>
      <c r="L59">
        <v>34.2443644106388</v>
      </c>
      <c r="M59">
        <v>1.82054913043975</v>
      </c>
      <c r="N59" s="1">
        <v>355</v>
      </c>
    </row>
    <row r="60" spans="2:14">
      <c r="B60" s="1" t="s">
        <v>84</v>
      </c>
      <c r="C60" s="1">
        <v>1914.77848965156</v>
      </c>
      <c r="D60" s="1">
        <v>384</v>
      </c>
      <c r="I60">
        <v>3.58075303810555</v>
      </c>
      <c r="J60">
        <v>2.00342187844216</v>
      </c>
      <c r="K60">
        <v>0.16350369737869</v>
      </c>
      <c r="L60">
        <v>35.7646525729341</v>
      </c>
      <c r="M60">
        <v>1.96389502746353</v>
      </c>
      <c r="N60" s="1">
        <v>384</v>
      </c>
    </row>
    <row r="61" spans="2:14">
      <c r="B61" s="1" t="s">
        <v>85</v>
      </c>
      <c r="C61" s="1">
        <v>10497.5050387561</v>
      </c>
      <c r="D61" s="1">
        <v>328</v>
      </c>
      <c r="I61">
        <v>6.9491474290236</v>
      </c>
      <c r="J61">
        <v>2.12464420329514</v>
      </c>
      <c r="K61">
        <v>0.417581900974713</v>
      </c>
      <c r="L61">
        <v>36.5261959582521</v>
      </c>
      <c r="M61">
        <v>1.87035888387946</v>
      </c>
      <c r="N61" s="1">
        <v>328</v>
      </c>
    </row>
    <row r="62" spans="2:14">
      <c r="B62" s="1" t="s">
        <v>86</v>
      </c>
      <c r="C62" s="1">
        <v>6267.6315244825</v>
      </c>
      <c r="D62" s="1">
        <v>339</v>
      </c>
      <c r="I62">
        <v>5.4309924095869</v>
      </c>
      <c r="J62">
        <v>2.11097756028175</v>
      </c>
      <c r="K62">
        <v>0.400525793433189</v>
      </c>
      <c r="L62">
        <v>33.1667597740888</v>
      </c>
      <c r="M62">
        <v>1.83833314478397</v>
      </c>
      <c r="N62" s="1">
        <v>339</v>
      </c>
    </row>
  </sheetData>
  <mergeCells count="15">
    <mergeCell ref="Q1:R1"/>
    <mergeCell ref="S1:T1"/>
    <mergeCell ref="U1:V1"/>
    <mergeCell ref="W1:X1"/>
    <mergeCell ref="Y1:Z1"/>
    <mergeCell ref="AA1:AB1"/>
    <mergeCell ref="AC1:AD1"/>
    <mergeCell ref="Q34:R34"/>
    <mergeCell ref="S34:T34"/>
    <mergeCell ref="U34:V34"/>
    <mergeCell ref="W34:X34"/>
    <mergeCell ref="Y34:Z34"/>
    <mergeCell ref="AA34:AB34"/>
    <mergeCell ref="P1:P2"/>
    <mergeCell ref="P34:P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2025-06-11T02:16:00Z</dcterms:created>
  <dcterms:modified xsi:type="dcterms:W3CDTF">2025-06-21T13:31:25Z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B03C59DC8383419A8A24F8D091D5111A_12</vt:lpwstr>
  </property>
  <property fmtid="{D5CDD505-2E9C-101B-9397-08002B2CF9AE}" pid="3" name="KSOProductBuildVer">
    <vt:lpwstr>2052-12.1.0.21541</vt:lpwstr>
  </property>
</Properties>
</file>