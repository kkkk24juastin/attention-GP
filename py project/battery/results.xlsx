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<sst xmlns="http://schemas.openxmlformats.org/spreadsheetml/2006/main" count="290" uniqueCount="17">
  <si>
    <t>method</t>
  </si>
  <si>
    <t>repeat</t>
  </si>
  <si>
    <t>RMSE_all</t>
  </si>
  <si>
    <t>RMSE_target</t>
  </si>
  <si>
    <t>G_opt</t>
  </si>
  <si>
    <t>总实验样本</t>
  </si>
  <si>
    <t>均值</t>
  </si>
  <si>
    <t>中位数</t>
  </si>
  <si>
    <t>最大值</t>
  </si>
  <si>
    <t>最小值</t>
  </si>
  <si>
    <t>第一四分位数</t>
  </si>
  <si>
    <t>第三四分位数</t>
  </si>
  <si>
    <t>D_opt</t>
  </si>
  <si>
    <t>CVT</t>
  </si>
  <si>
    <t>LHS</t>
  </si>
  <si>
    <t>PM</t>
  </si>
  <si>
    <t>实验方法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</si>
</sst>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31"/>
  <sheetViews>
    <sheetView tabSelected="1" topLeftCell="A85" workbookViewId="0">
      <selection activeCell="E1" sqref="E1:F131"/>
    </sheetView>
  </sheetViews>
  <sheetFormatPr defaultColWidth="9" defaultRowHeight="13.5"/>
  <cols>
    <col min="1" max="2" width="9" style="1"/>
    <col min="3" max="4" width="12.625" style="1"/>
    <col min="5" max="5" width="9" style="1"/>
    <col min="6" max="6" width="12.625" style="1"/>
    <col min="8" max="8" width="10.875" customWidth="1"/>
    <col min="9" max="14" width="12.625"/>
    <col min="15" max="15" width="11.5"/>
    <col min="16" max="17" width="12.625"/>
    <col min="18" max="18" width="11.5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0</v>
      </c>
      <c r="F1" s="2" t="s">
        <v>3</v>
      </c>
    </row>
    <row r="2" spans="1:6">
      <c r="A2" s="1" t="s">
        <v>4</v>
      </c>
      <c r="B2" s="1">
        <v>1</v>
      </c>
      <c r="C2" s="1">
        <v>13.3305758982088</v>
      </c>
      <c r="D2" s="3">
        <v>8.73896334155546</v>
      </c>
      <c r="E2" s="1" t="s">
        <v>4</v>
      </c>
      <c r="F2" s="3">
        <v>8.73896334155546</v>
      </c>
    </row>
    <row r="3" spans="1:6">
      <c r="A3" s="1" t="s">
        <v>4</v>
      </c>
      <c r="B3" s="1">
        <v>2</v>
      </c>
      <c r="C3" s="1">
        <v>13.3339273721918</v>
      </c>
      <c r="D3" s="3">
        <v>8.86110590648368</v>
      </c>
      <c r="E3" s="1" t="s">
        <v>4</v>
      </c>
      <c r="F3" s="3">
        <v>8.86110590648368</v>
      </c>
    </row>
    <row r="4" spans="1:18">
      <c r="A4" s="1" t="s">
        <v>4</v>
      </c>
      <c r="B4" s="1">
        <v>3</v>
      </c>
      <c r="C4" s="1">
        <v>13.1965451867488</v>
      </c>
      <c r="D4" s="3">
        <v>6.16462036619334</v>
      </c>
      <c r="E4" s="1" t="s">
        <v>4</v>
      </c>
      <c r="F4" s="3">
        <v>6.16462036619334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>
      <c r="A5" s="1" t="s">
        <v>4</v>
      </c>
      <c r="B5" s="1">
        <v>4</v>
      </c>
      <c r="C5" s="1">
        <v>13.4461039158668</v>
      </c>
      <c r="D5" s="1">
        <v>6.9872328143654</v>
      </c>
      <c r="E5" s="1" t="s">
        <v>4</v>
      </c>
      <c r="F5" s="1">
        <v>6.9872328143654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>
      <c r="A6" s="1" t="s">
        <v>4</v>
      </c>
      <c r="B6" s="1">
        <v>5</v>
      </c>
      <c r="C6" s="1">
        <v>13.4949548079002</v>
      </c>
      <c r="D6" s="3">
        <v>18.314362353704</v>
      </c>
      <c r="E6" s="1" t="s">
        <v>4</v>
      </c>
      <c r="F6" s="3">
        <v>18.314362353704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>
      <c r="A7" s="1" t="s">
        <v>4</v>
      </c>
      <c r="B7" s="1">
        <v>6</v>
      </c>
      <c r="C7" s="1">
        <v>13.3087580021153</v>
      </c>
      <c r="D7" s="1">
        <v>5.60796939552765</v>
      </c>
      <c r="E7" s="1" t="s">
        <v>4</v>
      </c>
      <c r="F7" s="1">
        <v>5.60796939552765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>
      <c r="A8" s="1" t="s">
        <v>4</v>
      </c>
      <c r="B8" s="1">
        <v>7</v>
      </c>
      <c r="C8" s="1">
        <v>13.1848523609524</v>
      </c>
      <c r="D8" s="1">
        <v>6.55115654782668</v>
      </c>
      <c r="E8" s="1" t="s">
        <v>4</v>
      </c>
      <c r="F8" s="1">
        <v>6.55115654782668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>
      <c r="A9" s="1" t="s">
        <v>4</v>
      </c>
      <c r="B9" s="1">
        <v>8</v>
      </c>
      <c r="C9" s="1">
        <v>13.0313001626571</v>
      </c>
      <c r="D9" s="3">
        <v>6.98104266819633</v>
      </c>
      <c r="E9" s="1" t="s">
        <v>4</v>
      </c>
      <c r="F9" s="3">
        <v>6.98104266819633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>
      <c r="A10" s="1" t="s">
        <v>4</v>
      </c>
      <c r="B10" s="1">
        <v>9</v>
      </c>
      <c r="C10" s="1">
        <v>12.8911770335327</v>
      </c>
      <c r="D10" s="1">
        <v>5.81097027545433</v>
      </c>
      <c r="E10" s="1" t="s">
        <v>4</v>
      </c>
      <c r="F10" s="1">
        <v>5.81097027545433</v>
      </c>
      <c r="H10" s="4" t="s">
        <v>5</v>
      </c>
      <c r="I10" s="1" t="s">
        <v>6</v>
      </c>
      <c r="J10" s="1" t="s">
        <v>7</v>
      </c>
      <c r="K10" s="1" t="s">
        <v>8</v>
      </c>
      <c r="L10" s="1" t="s">
        <v>9</v>
      </c>
      <c r="M10" s="1" t="s">
        <v>10</v>
      </c>
      <c r="N10" s="1" t="s">
        <v>11</v>
      </c>
      <c r="O10" s="1"/>
      <c r="P10" s="1"/>
      <c r="Q10" s="1"/>
      <c r="R10" s="1"/>
    </row>
    <row r="11" spans="1:18">
      <c r="A11" s="1" t="s">
        <v>4</v>
      </c>
      <c r="B11" s="1">
        <v>10</v>
      </c>
      <c r="C11" s="1">
        <v>13.380212198878</v>
      </c>
      <c r="D11" s="1">
        <v>8.17967908388871</v>
      </c>
      <c r="E11" s="1" t="s">
        <v>4</v>
      </c>
      <c r="F11" s="1">
        <v>8.17967908388871</v>
      </c>
      <c r="H11" s="1" t="s">
        <v>4</v>
      </c>
      <c r="I11" s="1">
        <f>AVERAGE(D2:D21)</f>
        <v>7.97929984763861</v>
      </c>
      <c r="J11" s="1">
        <f>MEDIAN(D2:D21)</f>
        <v>6.89568956207497</v>
      </c>
      <c r="K11" s="1">
        <f>MAX(D2:D21)</f>
        <v>18.314362353704</v>
      </c>
      <c r="L11" s="1">
        <f>MIN(D2:D21)</f>
        <v>5.56267513407143</v>
      </c>
      <c r="M11" s="1">
        <f>QUARTILE(D2:D21,1)</f>
        <v>6.09797577330327</v>
      </c>
      <c r="N11" s="1">
        <f>QUARTILE(D2:D21,3)</f>
        <v>8.3195001483054</v>
      </c>
      <c r="O11" s="1"/>
      <c r="P11" s="1"/>
      <c r="Q11" s="1"/>
      <c r="R11" s="1"/>
    </row>
    <row r="12" spans="1:18">
      <c r="A12" s="1" t="s">
        <v>4</v>
      </c>
      <c r="B12" s="1">
        <v>11</v>
      </c>
      <c r="C12" s="1">
        <v>13.2584529355883</v>
      </c>
      <c r="D12" s="3">
        <v>16.2201326041072</v>
      </c>
      <c r="E12" s="1" t="s">
        <v>4</v>
      </c>
      <c r="F12" s="3">
        <v>16.2201326041072</v>
      </c>
      <c r="H12" s="1" t="s">
        <v>12</v>
      </c>
      <c r="I12" s="1">
        <f>AVERAGE(D32:D51)</f>
        <v>7.80774556965865</v>
      </c>
      <c r="J12" s="1">
        <f>MEDIAN(D32:D51)</f>
        <v>7.02092366967748</v>
      </c>
      <c r="K12" s="1">
        <f>MAX(D32:D51)</f>
        <v>15.562587392033</v>
      </c>
      <c r="L12" s="1">
        <f>MIN(D32:D51)</f>
        <v>5.94199067160246</v>
      </c>
      <c r="M12" s="1">
        <f>QUARTILE(D32:D51,1)</f>
        <v>6.78812610158088</v>
      </c>
      <c r="N12" s="1">
        <f>QUARTILE(D32:D51,3)</f>
        <v>7.69166383917506</v>
      </c>
      <c r="O12" s="1"/>
      <c r="P12" s="1"/>
      <c r="Q12" s="1"/>
      <c r="R12" s="1"/>
    </row>
    <row r="13" spans="1:18">
      <c r="A13" s="1" t="s">
        <v>4</v>
      </c>
      <c r="B13" s="1">
        <v>12</v>
      </c>
      <c r="C13" s="1">
        <v>13.2219888769116</v>
      </c>
      <c r="D13" s="1">
        <v>6.22509932867875</v>
      </c>
      <c r="E13" s="1" t="s">
        <v>4</v>
      </c>
      <c r="F13" s="1">
        <v>6.22509932867875</v>
      </c>
      <c r="H13" s="1" t="s">
        <v>13</v>
      </c>
      <c r="I13" s="1">
        <f>AVERAGE(D62:D81)</f>
        <v>10.7556710111629</v>
      </c>
      <c r="J13" s="1">
        <f>MEDIAN(D62:D81)</f>
        <v>9.23750699853811</v>
      </c>
      <c r="K13" s="1">
        <f>MAX(D62:D81)</f>
        <v>26.6413504687139</v>
      </c>
      <c r="L13" s="1">
        <f>MIN(D62:D81)</f>
        <v>6.94910015962158</v>
      </c>
      <c r="M13" s="1">
        <f>QUARTILE(D62:D81,1)</f>
        <v>7.22885138979532</v>
      </c>
      <c r="N13" s="1">
        <f>QUARTILE(D62:D81,3)</f>
        <v>12.0859205819848</v>
      </c>
      <c r="O13" s="1"/>
      <c r="P13" s="1"/>
      <c r="Q13" s="1"/>
      <c r="R13" s="1"/>
    </row>
    <row r="14" spans="1:18">
      <c r="A14" s="1" t="s">
        <v>4</v>
      </c>
      <c r="B14" s="1">
        <v>13</v>
      </c>
      <c r="C14" s="1">
        <v>13.0609571056911</v>
      </c>
      <c r="D14" s="3">
        <v>10.2456578763616</v>
      </c>
      <c r="E14" s="1" t="s">
        <v>4</v>
      </c>
      <c r="F14" s="3">
        <v>10.2456578763616</v>
      </c>
      <c r="H14" s="1" t="s">
        <v>14</v>
      </c>
      <c r="I14" s="1">
        <f>AVERAGE(D112:D131)</f>
        <v>9.27251030526064</v>
      </c>
      <c r="J14" s="1">
        <f>MEDIAN(D112:D131)</f>
        <v>7.68852812910765</v>
      </c>
      <c r="K14" s="1">
        <f>MAX(D112:D131)</f>
        <v>16.959259780779</v>
      </c>
      <c r="L14" s="1">
        <f>MIN(D112:D131)</f>
        <v>6.42469795620807</v>
      </c>
      <c r="M14" s="1">
        <f>QUARTILE(D112:D131,1)</f>
        <v>7.07609864674851</v>
      </c>
      <c r="N14" s="1">
        <f>QUARTILE(D112:D131,3)</f>
        <v>10.5335072541725</v>
      </c>
      <c r="O14" s="1"/>
      <c r="P14" s="1"/>
      <c r="Q14" s="1"/>
      <c r="R14" s="1"/>
    </row>
    <row r="15" spans="1:18">
      <c r="A15" s="1" t="s">
        <v>4</v>
      </c>
      <c r="B15" s="1">
        <v>14</v>
      </c>
      <c r="C15" s="1">
        <v>12.9548719877533</v>
      </c>
      <c r="D15" s="1">
        <v>5.56267513407143</v>
      </c>
      <c r="E15" s="1" t="s">
        <v>4</v>
      </c>
      <c r="F15" s="1">
        <v>5.56267513407143</v>
      </c>
      <c r="H15" s="1" t="s">
        <v>15</v>
      </c>
      <c r="I15" s="1">
        <f>AVERAGE(D92:D111)</f>
        <v>6.98798307151931</v>
      </c>
      <c r="J15" s="1">
        <f>MEDIAN(D92:D111)</f>
        <v>6.72560205956277</v>
      </c>
      <c r="K15" s="1">
        <f>MAX(D92:D111)</f>
        <v>10.99252635136</v>
      </c>
      <c r="L15" s="1">
        <f>MIN(D92:D111)</f>
        <v>4.86047964517556</v>
      </c>
      <c r="M15" s="1">
        <f>QUARTILE(D92:D111,1)</f>
        <v>6.10977337893479</v>
      </c>
      <c r="N15" s="1">
        <f>QUARTILE(D92:D111,3)</f>
        <v>7.39329799385456</v>
      </c>
      <c r="O15" s="1"/>
      <c r="P15" s="1"/>
      <c r="Q15" s="1"/>
      <c r="R15" s="1"/>
    </row>
    <row r="16" spans="1:18">
      <c r="A16" s="1" t="s">
        <v>4</v>
      </c>
      <c r="B16" s="1">
        <v>15</v>
      </c>
      <c r="C16" s="1">
        <v>13.4069975629219</v>
      </c>
      <c r="D16" s="1">
        <v>7.29792226304869</v>
      </c>
      <c r="E16" s="1" t="s">
        <v>4</v>
      </c>
      <c r="F16" s="1">
        <v>7.29792226304869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>
      <c r="A17" s="1" t="s">
        <v>4</v>
      </c>
      <c r="B17" s="1">
        <v>16</v>
      </c>
      <c r="C17" s="1">
        <v>13.1070330107604</v>
      </c>
      <c r="D17" s="1">
        <v>5.85342178696254</v>
      </c>
      <c r="E17" s="1" t="s">
        <v>4</v>
      </c>
      <c r="F17" s="1">
        <v>5.85342178696254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>
      <c r="A18" s="1" t="s">
        <v>4</v>
      </c>
      <c r="B18" s="1">
        <v>17</v>
      </c>
      <c r="C18" s="1">
        <v>12.996054657971</v>
      </c>
      <c r="D18" s="1">
        <v>6.09964850550832</v>
      </c>
      <c r="E18" s="1" t="s">
        <v>4</v>
      </c>
      <c r="F18" s="1">
        <v>6.09964850550832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>
      <c r="A19" s="1" t="s">
        <v>4</v>
      </c>
      <c r="B19" s="1">
        <v>18</v>
      </c>
      <c r="C19" s="1">
        <v>13.0737118806718</v>
      </c>
      <c r="D19" s="3">
        <v>6.81980186278516</v>
      </c>
      <c r="E19" s="1" t="s">
        <v>4</v>
      </c>
      <c r="F19" s="3">
        <v>6.81980186278516</v>
      </c>
      <c r="H19" s="1" t="s">
        <v>16</v>
      </c>
      <c r="I19" s="1" t="s">
        <v>6</v>
      </c>
      <c r="J19" s="1" t="s">
        <v>7</v>
      </c>
      <c r="K19" s="1" t="s">
        <v>8</v>
      </c>
      <c r="L19" s="1" t="s">
        <v>9</v>
      </c>
      <c r="M19" s="1" t="s">
        <v>10</v>
      </c>
      <c r="N19" s="1" t="s">
        <v>11</v>
      </c>
      <c r="O19" s="1"/>
      <c r="P19" s="1"/>
      <c r="Q19" s="1"/>
      <c r="R19" s="1"/>
    </row>
    <row r="20" spans="1:18">
      <c r="A20" s="1" t="s">
        <v>4</v>
      </c>
      <c r="B20" s="1">
        <v>19</v>
      </c>
      <c r="C20" s="1">
        <v>13.3586132341373</v>
      </c>
      <c r="D20" s="3">
        <v>6.09295757668814</v>
      </c>
      <c r="E20" s="1" t="s">
        <v>4</v>
      </c>
      <c r="F20" s="3">
        <v>6.09295757668814</v>
      </c>
      <c r="H20" s="1" t="s">
        <v>4</v>
      </c>
      <c r="I20" s="5">
        <v>7.9793</v>
      </c>
      <c r="J20" s="5">
        <v>6.8957</v>
      </c>
      <c r="K20" s="5">
        <v>18.3144</v>
      </c>
      <c r="L20" s="5">
        <v>5.5627</v>
      </c>
      <c r="M20" s="5">
        <v>6.098</v>
      </c>
      <c r="N20" s="5">
        <v>8.3195</v>
      </c>
      <c r="O20" s="1"/>
      <c r="P20" s="1"/>
      <c r="Q20" s="1"/>
      <c r="R20" s="1"/>
    </row>
    <row r="21" spans="1:18">
      <c r="A21" s="1" t="s">
        <v>4</v>
      </c>
      <c r="B21" s="1">
        <v>20</v>
      </c>
      <c r="C21" s="1">
        <v>12.9751102665698</v>
      </c>
      <c r="D21" s="3">
        <v>6.97157726136479</v>
      </c>
      <c r="E21" s="1" t="s">
        <v>4</v>
      </c>
      <c r="F21" s="3">
        <v>6.97157726136479</v>
      </c>
      <c r="H21" s="1" t="s">
        <v>12</v>
      </c>
      <c r="I21" s="5">
        <v>7.8077</v>
      </c>
      <c r="J21" s="5">
        <v>7.0209</v>
      </c>
      <c r="K21" s="5">
        <v>15.5626</v>
      </c>
      <c r="L21" s="5">
        <v>5.942</v>
      </c>
      <c r="M21" s="5">
        <v>6.7881</v>
      </c>
      <c r="N21" s="5">
        <v>7.6917</v>
      </c>
      <c r="O21" s="1"/>
      <c r="P21" s="1"/>
      <c r="Q21" s="1"/>
      <c r="R21" s="1"/>
    </row>
    <row r="22" spans="1:18">
      <c r="A22" s="1" t="s">
        <v>4</v>
      </c>
      <c r="B22" s="1">
        <v>21</v>
      </c>
      <c r="C22" s="1">
        <v>13.3913976740298</v>
      </c>
      <c r="D22" s="3">
        <v>6.97372619875266</v>
      </c>
      <c r="E22" s="1" t="s">
        <v>4</v>
      </c>
      <c r="F22" s="3">
        <v>6.97372619875266</v>
      </c>
      <c r="H22" s="1" t="s">
        <v>13</v>
      </c>
      <c r="I22" s="5">
        <v>10.7557</v>
      </c>
      <c r="J22" s="5">
        <v>9.2375</v>
      </c>
      <c r="K22" s="5">
        <v>26.6414</v>
      </c>
      <c r="L22" s="5">
        <v>6.9491</v>
      </c>
      <c r="M22" s="5">
        <v>7.2289</v>
      </c>
      <c r="N22" s="5">
        <v>12.0859</v>
      </c>
      <c r="O22" s="1"/>
      <c r="P22" s="1"/>
      <c r="Q22" s="1"/>
      <c r="R22" s="1"/>
    </row>
    <row r="23" spans="1:18">
      <c r="A23" s="1" t="s">
        <v>4</v>
      </c>
      <c r="B23" s="1">
        <v>22</v>
      </c>
      <c r="C23" s="1">
        <v>13.0881116334225</v>
      </c>
      <c r="D23" s="1">
        <v>5.38697903318252</v>
      </c>
      <c r="E23" s="1" t="s">
        <v>4</v>
      </c>
      <c r="F23" s="1">
        <v>5.38697903318252</v>
      </c>
      <c r="H23" s="1" t="s">
        <v>14</v>
      </c>
      <c r="I23" s="5">
        <v>9.2725</v>
      </c>
      <c r="J23" s="5">
        <v>7.6885</v>
      </c>
      <c r="K23" s="5">
        <v>16.9593</v>
      </c>
      <c r="L23" s="5">
        <v>6.4247</v>
      </c>
      <c r="M23" s="5">
        <v>7.0761</v>
      </c>
      <c r="N23" s="5">
        <v>10.5335</v>
      </c>
      <c r="O23" s="1"/>
      <c r="P23" s="1"/>
      <c r="Q23" s="1"/>
      <c r="R23" s="1"/>
    </row>
    <row r="24" spans="1:18">
      <c r="A24" s="1" t="s">
        <v>4</v>
      </c>
      <c r="B24" s="1">
        <v>23</v>
      </c>
      <c r="C24" s="1">
        <v>13.3137242748124</v>
      </c>
      <c r="D24" s="1">
        <v>6.67670399356346</v>
      </c>
      <c r="E24" s="1" t="s">
        <v>4</v>
      </c>
      <c r="F24" s="1">
        <v>6.67670399356346</v>
      </c>
      <c r="H24" s="1" t="s">
        <v>15</v>
      </c>
      <c r="I24" s="5">
        <v>6.988</v>
      </c>
      <c r="J24" s="5">
        <v>6.7256</v>
      </c>
      <c r="K24" s="5">
        <v>10.9925</v>
      </c>
      <c r="L24" s="5">
        <v>4.8605</v>
      </c>
      <c r="M24" s="5">
        <v>6.1098</v>
      </c>
      <c r="N24" s="5">
        <v>7.3933</v>
      </c>
      <c r="O24" s="1"/>
      <c r="P24" s="1"/>
      <c r="Q24" s="1"/>
      <c r="R24" s="1"/>
    </row>
    <row r="25" spans="1:18">
      <c r="A25" s="1" t="s">
        <v>4</v>
      </c>
      <c r="B25" s="1">
        <v>24</v>
      </c>
      <c r="C25" s="1">
        <v>13.0048539148577</v>
      </c>
      <c r="D25" s="1">
        <v>6.09312955096633</v>
      </c>
      <c r="E25" s="1" t="s">
        <v>4</v>
      </c>
      <c r="F25" s="1">
        <v>6.09312955096633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>
      <c r="A26" s="1" t="s">
        <v>4</v>
      </c>
      <c r="B26" s="1">
        <v>25</v>
      </c>
      <c r="C26" s="1">
        <v>13.4362134301891</v>
      </c>
      <c r="D26" s="1">
        <v>7.66767005350333</v>
      </c>
      <c r="E26" s="1" t="s">
        <v>4</v>
      </c>
      <c r="F26" s="1">
        <v>7.66767005350333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>
      <c r="A27" s="1" t="s">
        <v>4</v>
      </c>
      <c r="B27" s="1">
        <v>26</v>
      </c>
      <c r="C27" s="1">
        <v>13.3158678560457</v>
      </c>
      <c r="D27" s="1">
        <v>6.0841797085018</v>
      </c>
      <c r="E27" s="1" t="s">
        <v>4</v>
      </c>
      <c r="F27" s="1">
        <v>6.0841797085018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>
      <c r="A28" s="1" t="s">
        <v>4</v>
      </c>
      <c r="B28" s="1">
        <v>27</v>
      </c>
      <c r="C28" s="1">
        <v>13.1173100699238</v>
      </c>
      <c r="D28" s="1">
        <v>5.80224916218383</v>
      </c>
      <c r="E28" s="1" t="s">
        <v>4</v>
      </c>
      <c r="F28" s="1">
        <v>5.80224916218383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>
      <c r="A29" s="1" t="s">
        <v>4</v>
      </c>
      <c r="B29" s="1">
        <v>28</v>
      </c>
      <c r="C29" s="1">
        <v>13.0738202971345</v>
      </c>
      <c r="D29" s="1">
        <v>6.94999280478621</v>
      </c>
      <c r="E29" s="1" t="s">
        <v>4</v>
      </c>
      <c r="F29" s="1">
        <v>6.94999280478621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6">
      <c r="A30" s="1" t="s">
        <v>4</v>
      </c>
      <c r="B30" s="1">
        <v>29</v>
      </c>
      <c r="C30" s="1">
        <v>13.1681030944015</v>
      </c>
      <c r="D30" s="1">
        <v>5.78375262212467</v>
      </c>
      <c r="E30" s="1" t="s">
        <v>4</v>
      </c>
      <c r="F30" s="1">
        <v>5.78375262212467</v>
      </c>
    </row>
    <row r="31" spans="1:6">
      <c r="A31" s="1" t="s">
        <v>4</v>
      </c>
      <c r="B31" s="1">
        <v>30</v>
      </c>
      <c r="C31" s="1">
        <v>13.1830649618663</v>
      </c>
      <c r="D31" s="1">
        <v>5.72579128182609</v>
      </c>
      <c r="E31" s="1" t="s">
        <v>4</v>
      </c>
      <c r="F31" s="1">
        <v>5.72579128182609</v>
      </c>
    </row>
    <row r="32" spans="1:6">
      <c r="A32" s="1" t="s">
        <v>12</v>
      </c>
      <c r="B32" s="1">
        <v>1</v>
      </c>
      <c r="C32" s="1">
        <v>15.1101726310469</v>
      </c>
      <c r="D32" s="1">
        <v>6.72943328982935</v>
      </c>
      <c r="E32" s="1" t="s">
        <v>12</v>
      </c>
      <c r="F32" s="1">
        <v>6.72943328982935</v>
      </c>
    </row>
    <row r="33" spans="1:6">
      <c r="A33" s="1" t="s">
        <v>12</v>
      </c>
      <c r="B33" s="1">
        <v>2</v>
      </c>
      <c r="C33" s="1">
        <v>13.4582867884501</v>
      </c>
      <c r="D33" s="1">
        <v>6.95256669406033</v>
      </c>
      <c r="E33" s="1" t="s">
        <v>12</v>
      </c>
      <c r="F33" s="1">
        <v>6.95256669406033</v>
      </c>
    </row>
    <row r="34" spans="1:6">
      <c r="A34" s="1" t="s">
        <v>12</v>
      </c>
      <c r="B34" s="1">
        <v>3</v>
      </c>
      <c r="C34" s="1">
        <v>15.8717845631986</v>
      </c>
      <c r="D34" s="1">
        <v>7.05589226955826</v>
      </c>
      <c r="E34" s="1" t="s">
        <v>12</v>
      </c>
      <c r="F34" s="1">
        <v>7.05589226955826</v>
      </c>
    </row>
    <row r="35" spans="1:6">
      <c r="A35" s="1" t="s">
        <v>12</v>
      </c>
      <c r="B35" s="1">
        <v>4</v>
      </c>
      <c r="C35" s="1">
        <v>16.1545755271211</v>
      </c>
      <c r="D35" s="1">
        <v>7.41753905341665</v>
      </c>
      <c r="E35" s="1" t="s">
        <v>12</v>
      </c>
      <c r="F35" s="1">
        <v>7.41753905341665</v>
      </c>
    </row>
    <row r="36" spans="1:6">
      <c r="A36" s="1" t="s">
        <v>12</v>
      </c>
      <c r="B36" s="1">
        <v>5</v>
      </c>
      <c r="C36" s="1">
        <v>13.6162258049155</v>
      </c>
      <c r="D36" s="1">
        <v>6.76924052742194</v>
      </c>
      <c r="E36" s="1" t="s">
        <v>12</v>
      </c>
      <c r="F36" s="1">
        <v>6.76924052742194</v>
      </c>
    </row>
    <row r="37" spans="1:6">
      <c r="A37" s="1" t="s">
        <v>12</v>
      </c>
      <c r="B37" s="1">
        <v>6</v>
      </c>
      <c r="C37" s="1">
        <v>14.6307369361847</v>
      </c>
      <c r="D37" s="1">
        <v>7.39205943541912</v>
      </c>
      <c r="E37" s="1" t="s">
        <v>12</v>
      </c>
      <c r="F37" s="1">
        <v>7.39205943541912</v>
      </c>
    </row>
    <row r="38" spans="1:6">
      <c r="A38" s="1" t="s">
        <v>12</v>
      </c>
      <c r="B38" s="1">
        <v>7</v>
      </c>
      <c r="C38" s="1">
        <v>20.6605826298091</v>
      </c>
      <c r="D38" s="1">
        <v>6.78999226790928</v>
      </c>
      <c r="E38" s="1" t="s">
        <v>12</v>
      </c>
      <c r="F38" s="1">
        <v>6.78999226790928</v>
      </c>
    </row>
    <row r="39" spans="1:6">
      <c r="A39" s="1" t="s">
        <v>12</v>
      </c>
      <c r="B39" s="1">
        <v>8</v>
      </c>
      <c r="C39" s="1">
        <v>13.4454128137342</v>
      </c>
      <c r="D39" s="1">
        <v>6.99588678882807</v>
      </c>
      <c r="E39" s="1" t="s">
        <v>12</v>
      </c>
      <c r="F39" s="1">
        <v>6.99588678882807</v>
      </c>
    </row>
    <row r="40" spans="1:6">
      <c r="A40" s="1" t="s">
        <v>12</v>
      </c>
      <c r="B40" s="1">
        <v>9</v>
      </c>
      <c r="C40" s="1">
        <v>13.7951964245087</v>
      </c>
      <c r="D40" s="1">
        <v>8.967349938889</v>
      </c>
      <c r="E40" s="1" t="s">
        <v>12</v>
      </c>
      <c r="F40" s="1">
        <v>8.967349938889</v>
      </c>
    </row>
    <row r="41" spans="1:6">
      <c r="A41" s="1" t="s">
        <v>12</v>
      </c>
      <c r="B41" s="1">
        <v>10</v>
      </c>
      <c r="C41" s="1">
        <v>15.0613465538556</v>
      </c>
      <c r="D41" s="1">
        <v>7.04596055052688</v>
      </c>
      <c r="E41" s="1" t="s">
        <v>12</v>
      </c>
      <c r="F41" s="1">
        <v>7.04596055052688</v>
      </c>
    </row>
    <row r="42" spans="1:6">
      <c r="A42" s="1" t="s">
        <v>12</v>
      </c>
      <c r="B42" s="1">
        <v>11</v>
      </c>
      <c r="C42" s="1">
        <v>13.4622176077106</v>
      </c>
      <c r="D42" s="1">
        <v>6.78252760259568</v>
      </c>
      <c r="E42" s="1" t="s">
        <v>12</v>
      </c>
      <c r="F42" s="1">
        <v>6.78252760259568</v>
      </c>
    </row>
    <row r="43" spans="1:6">
      <c r="A43" s="1" t="s">
        <v>12</v>
      </c>
      <c r="B43" s="1">
        <v>12</v>
      </c>
      <c r="C43" s="1">
        <v>13.3301789611952</v>
      </c>
      <c r="D43" s="1">
        <v>5.94199067160246</v>
      </c>
      <c r="E43" s="1" t="s">
        <v>12</v>
      </c>
      <c r="F43" s="1">
        <v>5.94199067160246</v>
      </c>
    </row>
    <row r="44" spans="1:6">
      <c r="A44" s="1" t="s">
        <v>12</v>
      </c>
      <c r="B44" s="1">
        <v>13</v>
      </c>
      <c r="C44" s="1">
        <v>15.4420321689673</v>
      </c>
      <c r="D44" s="1">
        <v>6.99533697351416</v>
      </c>
      <c r="E44" s="1" t="s">
        <v>12</v>
      </c>
      <c r="F44" s="1">
        <v>6.99533697351416</v>
      </c>
    </row>
    <row r="45" spans="1:6">
      <c r="A45" s="1" t="s">
        <v>12</v>
      </c>
      <c r="B45" s="1">
        <v>14</v>
      </c>
      <c r="C45" s="1">
        <v>13.5275111053293</v>
      </c>
      <c r="D45" s="1">
        <v>7.63621177533676</v>
      </c>
      <c r="E45" s="1" t="s">
        <v>12</v>
      </c>
      <c r="F45" s="1">
        <v>7.63621177533676</v>
      </c>
    </row>
    <row r="46" spans="1:6">
      <c r="A46" s="1" t="s">
        <v>12</v>
      </c>
      <c r="B46" s="1">
        <v>15</v>
      </c>
      <c r="C46" s="1">
        <v>13.6279732052572</v>
      </c>
      <c r="D46" s="1">
        <v>6.11185216638817</v>
      </c>
      <c r="E46" s="1" t="s">
        <v>12</v>
      </c>
      <c r="F46" s="1">
        <v>6.11185216638817</v>
      </c>
    </row>
    <row r="47" spans="1:6">
      <c r="A47" s="1" t="s">
        <v>12</v>
      </c>
      <c r="B47" s="1">
        <v>16</v>
      </c>
      <c r="C47" s="1">
        <v>13.4067796123378</v>
      </c>
      <c r="D47" s="1">
        <v>8.35872042756321</v>
      </c>
      <c r="E47" s="1" t="s">
        <v>12</v>
      </c>
      <c r="F47" s="1">
        <v>8.35872042756321</v>
      </c>
    </row>
    <row r="48" spans="1:6">
      <c r="A48" s="1" t="s">
        <v>12</v>
      </c>
      <c r="B48" s="1">
        <v>17</v>
      </c>
      <c r="C48" s="1">
        <v>13.7781738123023</v>
      </c>
      <c r="D48" s="1">
        <v>11.9761800710773</v>
      </c>
      <c r="E48" s="1" t="s">
        <v>12</v>
      </c>
      <c r="F48" s="1">
        <v>11.9761800710773</v>
      </c>
    </row>
    <row r="49" spans="1:6">
      <c r="A49" s="1" t="s">
        <v>12</v>
      </c>
      <c r="B49" s="1">
        <v>18</v>
      </c>
      <c r="C49" s="1">
        <v>35.326347502362</v>
      </c>
      <c r="D49" s="1">
        <v>6.81556346651352</v>
      </c>
      <c r="E49" s="1" t="s">
        <v>12</v>
      </c>
      <c r="F49" s="1">
        <v>6.81556346651352</v>
      </c>
    </row>
    <row r="50" spans="1:6">
      <c r="A50" s="1" t="s">
        <v>12</v>
      </c>
      <c r="B50" s="1">
        <v>19</v>
      </c>
      <c r="C50" s="1">
        <v>13.473376251617</v>
      </c>
      <c r="D50" s="1">
        <v>7.85802003068995</v>
      </c>
      <c r="E50" s="1" t="s">
        <v>12</v>
      </c>
      <c r="F50" s="1">
        <v>7.85802003068995</v>
      </c>
    </row>
    <row r="51" spans="1:6">
      <c r="A51" s="1" t="s">
        <v>12</v>
      </c>
      <c r="B51" s="1">
        <v>20</v>
      </c>
      <c r="C51" s="1">
        <v>14.4562956959067</v>
      </c>
      <c r="D51" s="1">
        <v>15.562587392033</v>
      </c>
      <c r="E51" s="1" t="s">
        <v>12</v>
      </c>
      <c r="F51" s="1">
        <v>15.562587392033</v>
      </c>
    </row>
    <row r="52" spans="1:6">
      <c r="A52" s="1" t="s">
        <v>12</v>
      </c>
      <c r="B52" s="1">
        <v>21</v>
      </c>
      <c r="C52" s="1">
        <v>13.7479100959404</v>
      </c>
      <c r="D52" s="1">
        <v>10.4120228023535</v>
      </c>
      <c r="E52" s="1" t="s">
        <v>12</v>
      </c>
      <c r="F52" s="1">
        <v>10.4120228023535</v>
      </c>
    </row>
    <row r="53" spans="1:6">
      <c r="A53" s="1" t="s">
        <v>12</v>
      </c>
      <c r="B53" s="1">
        <v>22</v>
      </c>
      <c r="C53" s="1">
        <v>14.0322172941831</v>
      </c>
      <c r="D53" s="1">
        <v>7.09191813043513</v>
      </c>
      <c r="E53" s="1" t="s">
        <v>12</v>
      </c>
      <c r="F53" s="1">
        <v>7.09191813043513</v>
      </c>
    </row>
    <row r="54" spans="1:6">
      <c r="A54" s="1" t="s">
        <v>12</v>
      </c>
      <c r="B54" s="1">
        <v>23</v>
      </c>
      <c r="C54" s="1">
        <v>13.5417615115011</v>
      </c>
      <c r="D54" s="1">
        <v>10.198148029668</v>
      </c>
      <c r="E54" s="1" t="s">
        <v>12</v>
      </c>
      <c r="F54" s="1">
        <v>10.198148029668</v>
      </c>
    </row>
    <row r="55" spans="1:6">
      <c r="A55" s="1" t="s">
        <v>12</v>
      </c>
      <c r="B55" s="1">
        <v>24</v>
      </c>
      <c r="C55" s="1">
        <v>13.4361898211033</v>
      </c>
      <c r="D55" s="1">
        <v>6.59412746945191</v>
      </c>
      <c r="E55" s="1" t="s">
        <v>12</v>
      </c>
      <c r="F55" s="1">
        <v>6.59412746945191</v>
      </c>
    </row>
    <row r="56" spans="1:6">
      <c r="A56" s="1" t="s">
        <v>12</v>
      </c>
      <c r="B56" s="1">
        <v>25</v>
      </c>
      <c r="C56" s="1">
        <v>14.1771958246698</v>
      </c>
      <c r="D56" s="1">
        <v>13.3596678976091</v>
      </c>
      <c r="E56" s="1" t="s">
        <v>12</v>
      </c>
      <c r="F56" s="1">
        <v>13.3596678976091</v>
      </c>
    </row>
    <row r="57" spans="1:6">
      <c r="A57" s="1" t="s">
        <v>12</v>
      </c>
      <c r="B57" s="1">
        <v>26</v>
      </c>
      <c r="C57" s="1">
        <v>13.4300616603484</v>
      </c>
      <c r="D57" s="1">
        <v>9.14793866385653</v>
      </c>
      <c r="E57" s="1" t="s">
        <v>12</v>
      </c>
      <c r="F57" s="1">
        <v>9.14793866385653</v>
      </c>
    </row>
    <row r="58" spans="1:6">
      <c r="A58" s="1" t="s">
        <v>12</v>
      </c>
      <c r="B58" s="1">
        <v>27</v>
      </c>
      <c r="C58" s="1">
        <v>17.2500819829062</v>
      </c>
      <c r="D58" s="1">
        <v>8.74628205045457</v>
      </c>
      <c r="E58" s="1" t="s">
        <v>12</v>
      </c>
      <c r="F58" s="1">
        <v>8.74628205045457</v>
      </c>
    </row>
    <row r="59" spans="1:6">
      <c r="A59" s="1" t="s">
        <v>12</v>
      </c>
      <c r="B59" s="1">
        <v>28</v>
      </c>
      <c r="C59" s="1">
        <v>13.6610398956412</v>
      </c>
      <c r="D59" s="1">
        <v>10.681999757433</v>
      </c>
      <c r="E59" s="1" t="s">
        <v>12</v>
      </c>
      <c r="F59" s="1">
        <v>10.681999757433</v>
      </c>
    </row>
    <row r="60" spans="1:6">
      <c r="A60" s="1" t="s">
        <v>12</v>
      </c>
      <c r="B60" s="1">
        <v>29</v>
      </c>
      <c r="C60" s="1">
        <v>37.4613698794463</v>
      </c>
      <c r="D60" s="1">
        <v>7.51893491940773</v>
      </c>
      <c r="E60" s="1" t="s">
        <v>12</v>
      </c>
      <c r="F60" s="1">
        <v>7.51893491940773</v>
      </c>
    </row>
    <row r="61" spans="1:6">
      <c r="A61" s="1" t="s">
        <v>12</v>
      </c>
      <c r="B61" s="1">
        <v>30</v>
      </c>
      <c r="C61" s="1">
        <v>13.6392286360345</v>
      </c>
      <c r="D61" s="1">
        <v>10.3229226088476</v>
      </c>
      <c r="E61" s="1" t="s">
        <v>12</v>
      </c>
      <c r="F61" s="1">
        <v>10.3229226088476</v>
      </c>
    </row>
    <row r="62" spans="1:6">
      <c r="A62" s="1" t="s">
        <v>13</v>
      </c>
      <c r="B62" s="1">
        <v>1</v>
      </c>
      <c r="C62" s="1">
        <v>13.9067365425822</v>
      </c>
      <c r="D62" s="1">
        <v>12.088036472266</v>
      </c>
      <c r="E62" s="1" t="s">
        <v>13</v>
      </c>
      <c r="F62" s="1">
        <v>12.088036472266</v>
      </c>
    </row>
    <row r="63" spans="1:6">
      <c r="A63" s="1" t="s">
        <v>13</v>
      </c>
      <c r="B63" s="1">
        <v>2</v>
      </c>
      <c r="C63" s="1">
        <v>19.5923459457664</v>
      </c>
      <c r="D63" s="1">
        <v>12.0852152852244</v>
      </c>
      <c r="E63" s="1" t="s">
        <v>13</v>
      </c>
      <c r="F63" s="1">
        <v>12.0852152852244</v>
      </c>
    </row>
    <row r="64" spans="1:6">
      <c r="A64" s="1" t="s">
        <v>13</v>
      </c>
      <c r="B64" s="1">
        <v>3</v>
      </c>
      <c r="C64" s="1">
        <v>23.1845959571581</v>
      </c>
      <c r="D64" s="1">
        <v>9.64303464163739</v>
      </c>
      <c r="E64" s="1" t="s">
        <v>13</v>
      </c>
      <c r="F64" s="1">
        <v>9.64303464163739</v>
      </c>
    </row>
    <row r="65" spans="1:6">
      <c r="A65" s="1" t="s">
        <v>13</v>
      </c>
      <c r="B65" s="1">
        <v>4</v>
      </c>
      <c r="C65" s="1">
        <v>13.6459780218663</v>
      </c>
      <c r="D65" s="1">
        <v>7.23426809324763</v>
      </c>
      <c r="E65" s="1" t="s">
        <v>13</v>
      </c>
      <c r="F65" s="1">
        <v>7.23426809324763</v>
      </c>
    </row>
    <row r="66" spans="1:6">
      <c r="A66" s="1" t="s">
        <v>13</v>
      </c>
      <c r="B66" s="1">
        <v>5</v>
      </c>
      <c r="C66" s="1">
        <v>20.7497004653494</v>
      </c>
      <c r="D66" s="1">
        <v>20.3263823859028</v>
      </c>
      <c r="E66" s="1" t="s">
        <v>13</v>
      </c>
      <c r="F66" s="1">
        <v>20.3263823859028</v>
      </c>
    </row>
    <row r="67" spans="1:6">
      <c r="A67" s="1" t="s">
        <v>13</v>
      </c>
      <c r="B67" s="1">
        <v>6</v>
      </c>
      <c r="C67" s="1">
        <v>15.2644150854057</v>
      </c>
      <c r="D67" s="1">
        <v>6.98563489691474</v>
      </c>
      <c r="E67" s="1" t="s">
        <v>13</v>
      </c>
      <c r="F67" s="1">
        <v>6.98563489691474</v>
      </c>
    </row>
    <row r="68" spans="1:6">
      <c r="A68" s="1" t="s">
        <v>13</v>
      </c>
      <c r="B68" s="1">
        <v>7</v>
      </c>
      <c r="C68" s="1">
        <v>13.5530852681574</v>
      </c>
      <c r="D68" s="1">
        <v>7.2126012794384</v>
      </c>
      <c r="E68" s="1" t="s">
        <v>13</v>
      </c>
      <c r="F68" s="1">
        <v>7.2126012794384</v>
      </c>
    </row>
    <row r="69" spans="1:6">
      <c r="A69" s="1" t="s">
        <v>13</v>
      </c>
      <c r="B69" s="1">
        <v>8</v>
      </c>
      <c r="C69" s="1">
        <v>13.9157447750168</v>
      </c>
      <c r="D69" s="1">
        <v>11.8704364977905</v>
      </c>
      <c r="E69" s="1" t="s">
        <v>13</v>
      </c>
      <c r="F69" s="1">
        <v>11.8704364977905</v>
      </c>
    </row>
    <row r="70" spans="1:6">
      <c r="A70" s="1" t="s">
        <v>13</v>
      </c>
      <c r="B70" s="1">
        <v>9</v>
      </c>
      <c r="C70" s="1">
        <v>21.7436501180171</v>
      </c>
      <c r="D70" s="1">
        <v>8.73637063642087</v>
      </c>
      <c r="E70" s="1" t="s">
        <v>13</v>
      </c>
      <c r="F70" s="1">
        <v>8.73637063642087</v>
      </c>
    </row>
    <row r="71" spans="1:6">
      <c r="A71" s="1" t="s">
        <v>13</v>
      </c>
      <c r="B71" s="1">
        <v>10</v>
      </c>
      <c r="C71" s="1">
        <v>13.7822644741274</v>
      </c>
      <c r="D71" s="1">
        <v>7.23522712774091</v>
      </c>
      <c r="E71" s="1" t="s">
        <v>13</v>
      </c>
      <c r="F71" s="1">
        <v>7.23522712774091</v>
      </c>
    </row>
    <row r="72" spans="1:6">
      <c r="A72" s="1" t="s">
        <v>13</v>
      </c>
      <c r="B72" s="1">
        <v>11</v>
      </c>
      <c r="C72" s="1">
        <v>16.3892466559591</v>
      </c>
      <c r="D72" s="1">
        <v>12.7305311138041</v>
      </c>
      <c r="E72" s="1" t="s">
        <v>13</v>
      </c>
      <c r="F72" s="1">
        <v>12.7305311138041</v>
      </c>
    </row>
    <row r="73" spans="1:6">
      <c r="A73" s="1" t="s">
        <v>13</v>
      </c>
      <c r="B73" s="1">
        <v>12</v>
      </c>
      <c r="C73" s="1">
        <v>16.1035010372728</v>
      </c>
      <c r="D73" s="1">
        <v>9.69270364996944</v>
      </c>
      <c r="E73" s="1" t="s">
        <v>13</v>
      </c>
      <c r="F73" s="1">
        <v>9.69270364996944</v>
      </c>
    </row>
    <row r="74" spans="1:6">
      <c r="A74" s="1" t="s">
        <v>13</v>
      </c>
      <c r="B74" s="1">
        <v>13</v>
      </c>
      <c r="C74" s="1">
        <v>13.7979190107395</v>
      </c>
      <c r="D74" s="1">
        <v>8.72560916400019</v>
      </c>
      <c r="E74" s="1" t="s">
        <v>13</v>
      </c>
      <c r="F74" s="1">
        <v>8.72560916400019</v>
      </c>
    </row>
    <row r="75" spans="1:6">
      <c r="A75" s="1" t="s">
        <v>13</v>
      </c>
      <c r="B75" s="1">
        <v>14</v>
      </c>
      <c r="C75" s="1">
        <v>16.5663201806326</v>
      </c>
      <c r="D75" s="1">
        <v>12.3255659169788</v>
      </c>
      <c r="E75" s="1" t="s">
        <v>13</v>
      </c>
      <c r="F75" s="1">
        <v>12.3255659169788</v>
      </c>
    </row>
    <row r="76" spans="1:6">
      <c r="A76" s="1" t="s">
        <v>13</v>
      </c>
      <c r="B76" s="1">
        <v>15</v>
      </c>
      <c r="C76" s="1">
        <v>15.997768952066</v>
      </c>
      <c r="D76" s="1">
        <v>8.83197935543883</v>
      </c>
      <c r="E76" s="1" t="s">
        <v>13</v>
      </c>
      <c r="F76" s="1">
        <v>8.83197935543883</v>
      </c>
    </row>
    <row r="77" spans="1:6">
      <c r="A77" s="1" t="s">
        <v>13</v>
      </c>
      <c r="B77" s="1">
        <v>16</v>
      </c>
      <c r="C77" s="1">
        <v>13.7263682676844</v>
      </c>
      <c r="D77" s="1">
        <v>7.09792246093217</v>
      </c>
      <c r="E77" s="1" t="s">
        <v>13</v>
      </c>
      <c r="F77" s="1">
        <v>7.09792246093217</v>
      </c>
    </row>
    <row r="78" spans="1:6">
      <c r="A78" s="1" t="s">
        <v>13</v>
      </c>
      <c r="B78" s="1">
        <v>17</v>
      </c>
      <c r="C78" s="1">
        <v>21.8416558785889</v>
      </c>
      <c r="D78" s="1">
        <v>26.6413504687139</v>
      </c>
      <c r="E78" s="1" t="s">
        <v>13</v>
      </c>
      <c r="F78" s="1">
        <v>26.6413504687139</v>
      </c>
    </row>
    <row r="79" spans="1:6">
      <c r="A79" s="1" t="s">
        <v>13</v>
      </c>
      <c r="B79" s="1">
        <v>18</v>
      </c>
      <c r="C79" s="1">
        <v>13.6438213221997</v>
      </c>
      <c r="D79" s="1">
        <v>6.94910015962158</v>
      </c>
      <c r="E79" s="1" t="s">
        <v>13</v>
      </c>
      <c r="F79" s="1">
        <v>6.94910015962158</v>
      </c>
    </row>
    <row r="80" spans="1:6">
      <c r="A80" s="1" t="s">
        <v>13</v>
      </c>
      <c r="B80" s="1">
        <v>19</v>
      </c>
      <c r="C80" s="1">
        <v>16.5133505943896</v>
      </c>
      <c r="D80" s="1">
        <v>11.6907028834003</v>
      </c>
      <c r="E80" s="1" t="s">
        <v>13</v>
      </c>
      <c r="F80" s="1">
        <v>11.6907028834003</v>
      </c>
    </row>
    <row r="81" spans="1:6">
      <c r="A81" s="1" t="s">
        <v>13</v>
      </c>
      <c r="B81" s="1">
        <v>20</v>
      </c>
      <c r="C81" s="1">
        <v>14.0848899891626</v>
      </c>
      <c r="D81" s="1">
        <v>7.01074773381534</v>
      </c>
      <c r="E81" s="1" t="s">
        <v>13</v>
      </c>
      <c r="F81" s="1">
        <v>7.01074773381534</v>
      </c>
    </row>
    <row r="82" spans="1:6">
      <c r="A82" s="1" t="s">
        <v>13</v>
      </c>
      <c r="B82" s="1">
        <v>21</v>
      </c>
      <c r="C82" s="1">
        <v>18.3269852026255</v>
      </c>
      <c r="D82" s="1">
        <v>7.6445933972942</v>
      </c>
      <c r="E82" s="1" t="s">
        <v>13</v>
      </c>
      <c r="F82" s="1">
        <v>7.6445933972942</v>
      </c>
    </row>
    <row r="83" spans="1:6">
      <c r="A83" s="1" t="s">
        <v>13</v>
      </c>
      <c r="B83" s="1">
        <v>22</v>
      </c>
      <c r="C83" s="1">
        <v>15.6516675781939</v>
      </c>
      <c r="D83" s="1">
        <v>7.28537215420598</v>
      </c>
      <c r="E83" s="1" t="s">
        <v>13</v>
      </c>
      <c r="F83" s="1">
        <v>7.28537215420598</v>
      </c>
    </row>
    <row r="84" spans="1:6">
      <c r="A84" s="1" t="s">
        <v>13</v>
      </c>
      <c r="B84" s="1">
        <v>23</v>
      </c>
      <c r="C84" s="1">
        <v>13.6296633107892</v>
      </c>
      <c r="D84" s="1">
        <v>7.19474644146226</v>
      </c>
      <c r="E84" s="1" t="s">
        <v>13</v>
      </c>
      <c r="F84" s="1">
        <v>7.19474644146226</v>
      </c>
    </row>
    <row r="85" spans="1:6">
      <c r="A85" s="1" t="s">
        <v>13</v>
      </c>
      <c r="B85" s="1">
        <v>24</v>
      </c>
      <c r="C85" s="1">
        <v>16.4478052334727</v>
      </c>
      <c r="D85" s="1">
        <v>11.0882880766538</v>
      </c>
      <c r="E85" s="1" t="s">
        <v>13</v>
      </c>
      <c r="F85" s="1">
        <v>11.0882880766538</v>
      </c>
    </row>
    <row r="86" spans="1:6">
      <c r="A86" s="1" t="s">
        <v>13</v>
      </c>
      <c r="B86" s="1">
        <v>25</v>
      </c>
      <c r="C86" s="1">
        <v>13.6092629946733</v>
      </c>
      <c r="D86" s="1">
        <v>7.09400705076289</v>
      </c>
      <c r="E86" s="1" t="s">
        <v>13</v>
      </c>
      <c r="F86" s="1">
        <v>7.09400705076289</v>
      </c>
    </row>
    <row r="87" spans="1:6">
      <c r="A87" s="1" t="s">
        <v>13</v>
      </c>
      <c r="B87" s="1">
        <v>26</v>
      </c>
      <c r="C87" s="1">
        <v>26.9595333820665</v>
      </c>
      <c r="D87" s="1">
        <v>11.2562122793577</v>
      </c>
      <c r="E87" s="1" t="s">
        <v>13</v>
      </c>
      <c r="F87" s="1">
        <v>11.2562122793577</v>
      </c>
    </row>
    <row r="88" spans="1:6">
      <c r="A88" s="1" t="s">
        <v>13</v>
      </c>
      <c r="B88" s="1">
        <v>27</v>
      </c>
      <c r="C88" s="1">
        <v>13.5038596756976</v>
      </c>
      <c r="D88" s="1">
        <v>7.84944935791988</v>
      </c>
      <c r="E88" s="1" t="s">
        <v>13</v>
      </c>
      <c r="F88" s="1">
        <v>7.84944935791988</v>
      </c>
    </row>
    <row r="89" spans="1:6">
      <c r="A89" s="1" t="s">
        <v>13</v>
      </c>
      <c r="B89" s="1">
        <v>28</v>
      </c>
      <c r="C89" s="1">
        <v>13.676734733738</v>
      </c>
      <c r="D89" s="1">
        <v>7.16839155567081</v>
      </c>
      <c r="E89" s="1" t="s">
        <v>13</v>
      </c>
      <c r="F89" s="1">
        <v>7.16839155567081</v>
      </c>
    </row>
    <row r="90" spans="1:6">
      <c r="A90" s="1" t="s">
        <v>13</v>
      </c>
      <c r="B90" s="1">
        <v>29</v>
      </c>
      <c r="C90" s="1">
        <v>13.5447327360185</v>
      </c>
      <c r="D90" s="1">
        <v>6.87806990087539</v>
      </c>
      <c r="E90" s="1" t="s">
        <v>13</v>
      </c>
      <c r="F90" s="1">
        <v>6.87806990087539</v>
      </c>
    </row>
    <row r="91" spans="1:6">
      <c r="A91" s="1" t="s">
        <v>13</v>
      </c>
      <c r="B91" s="1">
        <v>30</v>
      </c>
      <c r="C91" s="1">
        <v>39.4550143351481</v>
      </c>
      <c r="D91" s="1">
        <v>8.66885028647629</v>
      </c>
      <c r="E91" s="1" t="s">
        <v>13</v>
      </c>
      <c r="F91" s="1">
        <v>8.66885028647629</v>
      </c>
    </row>
    <row r="92" spans="1:6">
      <c r="A92" s="1" t="s">
        <v>15</v>
      </c>
      <c r="B92" s="1">
        <v>1</v>
      </c>
      <c r="D92" s="1">
        <v>6.90177278622973</v>
      </c>
      <c r="E92" s="1" t="s">
        <v>15</v>
      </c>
      <c r="F92" s="1">
        <v>6.90177278622973</v>
      </c>
    </row>
    <row r="93" spans="1:6">
      <c r="A93" s="1" t="s">
        <v>15</v>
      </c>
      <c r="B93" s="1">
        <v>2</v>
      </c>
      <c r="D93" s="1">
        <v>7.18509268838797</v>
      </c>
      <c r="E93" s="1" t="s">
        <v>15</v>
      </c>
      <c r="F93" s="1">
        <v>7.18509268838797</v>
      </c>
    </row>
    <row r="94" spans="1:6">
      <c r="A94" s="1" t="s">
        <v>15</v>
      </c>
      <c r="B94" s="1">
        <v>3</v>
      </c>
      <c r="D94" s="3">
        <v>10.4917129530012</v>
      </c>
      <c r="E94" s="1" t="s">
        <v>15</v>
      </c>
      <c r="F94" s="3">
        <v>10.4917129530012</v>
      </c>
    </row>
    <row r="95" spans="1:6">
      <c r="A95" s="1" t="s">
        <v>15</v>
      </c>
      <c r="B95" s="1">
        <v>4</v>
      </c>
      <c r="D95" s="1">
        <v>8.00265612001718</v>
      </c>
      <c r="E95" s="1" t="s">
        <v>15</v>
      </c>
      <c r="F95" s="1">
        <v>8.00265612001718</v>
      </c>
    </row>
    <row r="96" spans="1:6">
      <c r="A96" s="1" t="s">
        <v>15</v>
      </c>
      <c r="B96" s="1">
        <v>5</v>
      </c>
      <c r="D96" s="1">
        <v>6.10956111752634</v>
      </c>
      <c r="E96" s="1" t="s">
        <v>15</v>
      </c>
      <c r="F96" s="1">
        <v>6.10956111752634</v>
      </c>
    </row>
    <row r="97" spans="1:6">
      <c r="A97" s="1" t="s">
        <v>15</v>
      </c>
      <c r="B97" s="1">
        <v>6</v>
      </c>
      <c r="D97" s="1">
        <v>7.01334802112193</v>
      </c>
      <c r="E97" s="1" t="s">
        <v>15</v>
      </c>
      <c r="F97" s="1">
        <v>7.01334802112193</v>
      </c>
    </row>
    <row r="98" spans="1:6">
      <c r="A98" s="1" t="s">
        <v>15</v>
      </c>
      <c r="B98" s="1">
        <v>7</v>
      </c>
      <c r="D98" s="1">
        <v>7.33446269006782</v>
      </c>
      <c r="E98" s="1" t="s">
        <v>15</v>
      </c>
      <c r="F98" s="1">
        <v>7.33446269006782</v>
      </c>
    </row>
    <row r="99" spans="1:6">
      <c r="A99" s="1" t="s">
        <v>15</v>
      </c>
      <c r="B99" s="1">
        <v>8</v>
      </c>
      <c r="D99" s="1">
        <v>6.10984413273761</v>
      </c>
      <c r="E99" s="1" t="s">
        <v>15</v>
      </c>
      <c r="F99" s="1">
        <v>6.10984413273761</v>
      </c>
    </row>
    <row r="100" spans="1:6">
      <c r="A100" s="1" t="s">
        <v>15</v>
      </c>
      <c r="B100" s="1">
        <v>9</v>
      </c>
      <c r="D100" s="1">
        <v>5.68137318014164</v>
      </c>
      <c r="E100" s="1" t="s">
        <v>15</v>
      </c>
      <c r="F100" s="1">
        <v>5.68137318014164</v>
      </c>
    </row>
    <row r="101" spans="1:6">
      <c r="A101" s="1" t="s">
        <v>15</v>
      </c>
      <c r="B101" s="1">
        <v>10</v>
      </c>
      <c r="D101" s="1">
        <v>5.48180928429043</v>
      </c>
      <c r="E101" s="1" t="s">
        <v>15</v>
      </c>
      <c r="F101" s="1">
        <v>5.48180928429043</v>
      </c>
    </row>
    <row r="102" spans="1:6">
      <c r="A102" s="1" t="s">
        <v>15</v>
      </c>
      <c r="B102" s="1">
        <v>11</v>
      </c>
      <c r="D102" s="1">
        <v>7.79572540384107</v>
      </c>
      <c r="E102" s="1" t="s">
        <v>15</v>
      </c>
      <c r="F102" s="1">
        <v>7.79572540384107</v>
      </c>
    </row>
    <row r="103" spans="1:6">
      <c r="A103" s="1" t="s">
        <v>15</v>
      </c>
      <c r="B103" s="1">
        <v>12</v>
      </c>
      <c r="D103" s="1">
        <v>10.99252635136</v>
      </c>
      <c r="E103" s="1" t="s">
        <v>15</v>
      </c>
      <c r="F103" s="1">
        <v>10.99252635136</v>
      </c>
    </row>
    <row r="104" spans="1:6">
      <c r="A104" s="1" t="s">
        <v>15</v>
      </c>
      <c r="B104" s="1">
        <v>13</v>
      </c>
      <c r="D104" s="1">
        <v>6.51024229717718</v>
      </c>
      <c r="E104" s="1" t="s">
        <v>15</v>
      </c>
      <c r="F104" s="1">
        <v>6.51024229717718</v>
      </c>
    </row>
    <row r="105" spans="1:6">
      <c r="A105" s="1" t="s">
        <v>15</v>
      </c>
      <c r="B105" s="1">
        <v>14</v>
      </c>
      <c r="D105" s="1">
        <v>5.55609237542652</v>
      </c>
      <c r="E105" s="1" t="s">
        <v>15</v>
      </c>
      <c r="F105" s="1">
        <v>5.55609237542652</v>
      </c>
    </row>
    <row r="106" spans="1:6">
      <c r="A106" s="1" t="s">
        <v>15</v>
      </c>
      <c r="B106" s="1">
        <v>15</v>
      </c>
      <c r="D106" s="1">
        <v>6.83041088415631</v>
      </c>
      <c r="E106" s="1" t="s">
        <v>15</v>
      </c>
      <c r="F106" s="1">
        <v>6.83041088415631</v>
      </c>
    </row>
    <row r="107" spans="1:6">
      <c r="A107" s="1" t="s">
        <v>15</v>
      </c>
      <c r="B107" s="1">
        <v>16</v>
      </c>
      <c r="D107" s="1">
        <v>6.11146113929496</v>
      </c>
      <c r="E107" s="1" t="s">
        <v>15</v>
      </c>
      <c r="F107" s="1">
        <v>6.11146113929496</v>
      </c>
    </row>
    <row r="108" spans="1:6">
      <c r="A108" s="1" t="s">
        <v>15</v>
      </c>
      <c r="B108" s="1">
        <v>17</v>
      </c>
      <c r="D108" s="1">
        <v>6.60049322024868</v>
      </c>
      <c r="E108" s="1" t="s">
        <v>15</v>
      </c>
      <c r="F108" s="1">
        <v>6.60049322024868</v>
      </c>
    </row>
    <row r="109" spans="1:6">
      <c r="A109" s="1" t="s">
        <v>15</v>
      </c>
      <c r="B109" s="1">
        <v>18</v>
      </c>
      <c r="D109" s="1">
        <v>4.86047964517556</v>
      </c>
      <c r="E109" s="1" t="s">
        <v>15</v>
      </c>
      <c r="F109" s="1">
        <v>4.86047964517556</v>
      </c>
    </row>
    <row r="110" spans="1:6">
      <c r="A110" s="1" t="s">
        <v>15</v>
      </c>
      <c r="B110" s="1">
        <v>19</v>
      </c>
      <c r="D110" s="1">
        <v>7.56980390521478</v>
      </c>
      <c r="E110" s="1" t="s">
        <v>15</v>
      </c>
      <c r="F110" s="1">
        <v>7.56980390521478</v>
      </c>
    </row>
    <row r="111" spans="1:6">
      <c r="A111" s="1" t="s">
        <v>15</v>
      </c>
      <c r="B111" s="1">
        <v>20</v>
      </c>
      <c r="D111" s="1">
        <v>6.62079323496923</v>
      </c>
      <c r="E111" s="1" t="s">
        <v>15</v>
      </c>
      <c r="F111" s="1">
        <v>6.62079323496923</v>
      </c>
    </row>
    <row r="112" spans="1:6">
      <c r="A112" s="1" t="s">
        <v>14</v>
      </c>
      <c r="B112" s="1">
        <v>1</v>
      </c>
      <c r="D112" s="1">
        <v>7.21602096922179</v>
      </c>
      <c r="E112" s="1" t="s">
        <v>14</v>
      </c>
      <c r="F112" s="1">
        <v>7.21602096922179</v>
      </c>
    </row>
    <row r="113" spans="1:6">
      <c r="A113" s="1" t="s">
        <v>14</v>
      </c>
      <c r="B113" s="1">
        <v>2</v>
      </c>
      <c r="D113" s="1">
        <v>10.5282112415371</v>
      </c>
      <c r="E113" s="1" t="s">
        <v>14</v>
      </c>
      <c r="F113" s="1">
        <v>10.5282112415371</v>
      </c>
    </row>
    <row r="114" spans="1:6">
      <c r="A114" s="1" t="s">
        <v>14</v>
      </c>
      <c r="B114" s="1">
        <v>3</v>
      </c>
      <c r="D114" s="1">
        <v>12.5582540182672</v>
      </c>
      <c r="E114" s="1" t="s">
        <v>14</v>
      </c>
      <c r="F114" s="1">
        <v>12.5582540182672</v>
      </c>
    </row>
    <row r="115" spans="1:6">
      <c r="A115" s="1" t="s">
        <v>14</v>
      </c>
      <c r="B115" s="1">
        <v>4</v>
      </c>
      <c r="D115" s="1">
        <v>9.31444545321602</v>
      </c>
      <c r="E115" s="1" t="s">
        <v>14</v>
      </c>
      <c r="F115" s="1">
        <v>9.31444545321602</v>
      </c>
    </row>
    <row r="116" spans="1:6">
      <c r="A116" s="1" t="s">
        <v>14</v>
      </c>
      <c r="B116" s="1">
        <v>5</v>
      </c>
      <c r="D116" s="1">
        <v>7.08817316722891</v>
      </c>
      <c r="E116" s="1" t="s">
        <v>14</v>
      </c>
      <c r="F116" s="1">
        <v>7.08817316722891</v>
      </c>
    </row>
    <row r="117" spans="1:6">
      <c r="A117" s="1" t="s">
        <v>14</v>
      </c>
      <c r="B117" s="1">
        <v>6</v>
      </c>
      <c r="D117" s="1">
        <v>6.98924463303411</v>
      </c>
      <c r="E117" s="1" t="s">
        <v>14</v>
      </c>
      <c r="F117" s="1">
        <v>6.98924463303411</v>
      </c>
    </row>
    <row r="118" spans="1:6">
      <c r="A118" s="1" t="s">
        <v>14</v>
      </c>
      <c r="B118" s="1">
        <v>7</v>
      </c>
      <c r="D118" s="1">
        <v>8.98428465173715</v>
      </c>
      <c r="E118" s="1" t="s">
        <v>14</v>
      </c>
      <c r="F118" s="1">
        <v>8.98428465173715</v>
      </c>
    </row>
    <row r="119" spans="1:6">
      <c r="A119" s="1" t="s">
        <v>14</v>
      </c>
      <c r="B119" s="1">
        <v>8</v>
      </c>
      <c r="D119" s="1">
        <v>6.52750727278066</v>
      </c>
      <c r="E119" s="1" t="s">
        <v>14</v>
      </c>
      <c r="F119" s="1">
        <v>6.52750727278066</v>
      </c>
    </row>
    <row r="120" spans="1:6">
      <c r="A120" s="1" t="s">
        <v>14</v>
      </c>
      <c r="B120" s="1">
        <v>9</v>
      </c>
      <c r="D120" s="1">
        <v>7.4439114251467</v>
      </c>
      <c r="E120" s="1" t="s">
        <v>14</v>
      </c>
      <c r="F120" s="1">
        <v>7.4439114251467</v>
      </c>
    </row>
    <row r="121" spans="1:6">
      <c r="A121" s="1" t="s">
        <v>14</v>
      </c>
      <c r="B121" s="1">
        <v>10</v>
      </c>
      <c r="D121" s="1">
        <v>6.42469795620807</v>
      </c>
      <c r="E121" s="1" t="s">
        <v>14</v>
      </c>
      <c r="F121" s="1">
        <v>6.42469795620807</v>
      </c>
    </row>
    <row r="122" spans="1:6">
      <c r="A122" s="1" t="s">
        <v>14</v>
      </c>
      <c r="B122" s="1">
        <v>11</v>
      </c>
      <c r="D122" s="1">
        <v>7.25868339795166</v>
      </c>
      <c r="E122" s="1" t="s">
        <v>14</v>
      </c>
      <c r="F122" s="1">
        <v>7.25868339795166</v>
      </c>
    </row>
    <row r="123" spans="1:6">
      <c r="A123" s="1" t="s">
        <v>14</v>
      </c>
      <c r="B123" s="1">
        <v>12</v>
      </c>
      <c r="D123" s="1">
        <v>10.5493952920786</v>
      </c>
      <c r="E123" s="1" t="s">
        <v>14</v>
      </c>
      <c r="F123" s="1">
        <v>10.5493952920786</v>
      </c>
    </row>
    <row r="124" spans="1:6">
      <c r="A124" s="1" t="s">
        <v>14</v>
      </c>
      <c r="B124" s="1">
        <v>13</v>
      </c>
      <c r="D124" s="1">
        <v>7.03987508530729</v>
      </c>
      <c r="E124" s="1" t="s">
        <v>14</v>
      </c>
      <c r="F124" s="1">
        <v>7.03987508530729</v>
      </c>
    </row>
    <row r="125" spans="1:6">
      <c r="A125" s="1" t="s">
        <v>14</v>
      </c>
      <c r="B125" s="1">
        <v>14</v>
      </c>
      <c r="D125" s="3">
        <v>16.959259780779</v>
      </c>
      <c r="E125" s="1" t="s">
        <v>14</v>
      </c>
      <c r="F125" s="3">
        <v>16.959259780779</v>
      </c>
    </row>
    <row r="126" spans="1:6">
      <c r="A126" s="1" t="s">
        <v>14</v>
      </c>
      <c r="B126" s="1">
        <v>15</v>
      </c>
      <c r="D126" s="1">
        <v>12.3640675646478</v>
      </c>
      <c r="E126" s="1" t="s">
        <v>14</v>
      </c>
      <c r="F126" s="1">
        <v>12.3640675646478</v>
      </c>
    </row>
    <row r="127" spans="1:6">
      <c r="A127" s="1" t="s">
        <v>14</v>
      </c>
      <c r="B127" s="1">
        <v>16</v>
      </c>
      <c r="D127" s="1">
        <v>16.0642976217867</v>
      </c>
      <c r="E127" s="1" t="s">
        <v>14</v>
      </c>
      <c r="F127" s="1">
        <v>16.0642976217867</v>
      </c>
    </row>
    <row r="128" spans="1:6">
      <c r="A128" s="1" t="s">
        <v>14</v>
      </c>
      <c r="B128" s="1">
        <v>17</v>
      </c>
      <c r="D128" s="1">
        <v>6.80599309935825</v>
      </c>
      <c r="E128" s="1" t="s">
        <v>14</v>
      </c>
      <c r="F128" s="1">
        <v>6.80599309935825</v>
      </c>
    </row>
    <row r="129" spans="1:6">
      <c r="A129" s="1" t="s">
        <v>14</v>
      </c>
      <c r="B129" s="1">
        <v>18</v>
      </c>
      <c r="D129" s="1">
        <v>7.87863530220708</v>
      </c>
      <c r="E129" s="1" t="s">
        <v>14</v>
      </c>
      <c r="F129" s="1">
        <v>7.87863530220708</v>
      </c>
    </row>
    <row r="130" spans="1:6">
      <c r="A130" s="1" t="s">
        <v>14</v>
      </c>
      <c r="B130" s="1">
        <v>19</v>
      </c>
      <c r="D130" s="1">
        <v>7.49842095600821</v>
      </c>
      <c r="E130" s="1" t="s">
        <v>14</v>
      </c>
      <c r="F130" s="1">
        <v>7.49842095600821</v>
      </c>
    </row>
    <row r="131" spans="1:6">
      <c r="A131" s="1" t="s">
        <v>14</v>
      </c>
      <c r="B131" s="1">
        <v>20</v>
      </c>
      <c r="D131" s="1">
        <v>9.95682721671063</v>
      </c>
      <c r="E131" s="1" t="s">
        <v>14</v>
      </c>
      <c r="F131" s="1">
        <v>9.95682721671063</v>
      </c>
    </row>
  </sheetData>
  <mergeCells count="3">
    <mergeCell ref="I4:M4"/>
    <mergeCell ref="N4:R4"/>
    <mergeCell ref="H4:H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kkkk24</cp:lastModifiedBy>
  <dcterms:created xsi:type="dcterms:W3CDTF">2025-06-26T03:54:00Z</dcterms:created>
  <dcterms:modified xsi:type="dcterms:W3CDTF">2025-06-27T08:21:59Z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F8EBB044781E4E429F4C931380761CB6_12</vt:lpwstr>
  </property>
  <property fmtid="{D5CDD505-2E9C-101B-9397-08002B2CF9AE}" pid="3" name="KSOProductBuildVer">
    <vt:lpwstr>2052-12.1.0.21541</vt:lpwstr>
  </property>
</Properties>
</file>