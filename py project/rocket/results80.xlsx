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<sst xmlns="http://schemas.openxmlformats.org/spreadsheetml/2006/main" count="127" uniqueCount="87">
  <si>
    <t>cycle</t>
  </si>
  <si>
    <t>resultpm</t>
  </si>
  <si>
    <t>QL_pm</t>
  </si>
  <si>
    <t>最大飞行高度</t>
  </si>
  <si>
    <t>ACT</t>
  </si>
  <si>
    <t>LHS</t>
  </si>
  <si>
    <t>序号</t>
  </si>
  <si>
    <t>X1</t>
  </si>
  <si>
    <t>X2</t>
  </si>
  <si>
    <t>X3</t>
  </si>
  <si>
    <t>X4</t>
  </si>
  <si>
    <t>X5</t>
  </si>
  <si>
    <t>X6</t>
  </si>
  <si>
    <t>Y</t>
  </si>
  <si>
    <t>[1.4596564043313265, 2.009866497588249, 0.2903865029603629, 32.39414228288097, 1.9311729005347125]</t>
  </si>
  <si>
    <t>最大值</t>
  </si>
  <si>
    <t>PM</t>
  </si>
  <si>
    <t>[4.969968862100195, 2.096644868627271, 0.09936976305086259, 32.14217495592031, 1.8822303531152098]</t>
  </si>
  <si>
    <t>最小值</t>
  </si>
  <si>
    <t>[5.59205043250765, 2.083882250778302, 0.3277751451665859, 33.827096675018, 1.997073880629614]</t>
  </si>
  <si>
    <t>中位数</t>
  </si>
  <si>
    <t>[5.794571764441219, 2.012799879303202, 0.24331469355905394, 36.29142276519496, 1.9495225148255495]</t>
  </si>
  <si>
    <t>平均值</t>
  </si>
  <si>
    <t>[4.678355574607849, 2.033934786915779, 0.3266954720020294, 35.56822185218334, 1.6497156471014023]</t>
  </si>
  <si>
    <t>Q1</t>
  </si>
  <si>
    <t>[4.323099061846733, 2.0621765106916428, 0.04258982837200165, 33.109431594610214, 1.973404586315155]</t>
  </si>
  <si>
    <t>Q3</t>
  </si>
  <si>
    <t>[3.3029711188379096, 2.0603390856245984, 0.2153338964518891, 31.243563322260826, 1.9674393793865579]</t>
  </si>
  <si>
    <t>[3.36978299465816, 2.0399314503136035, 0.08581764108215865, 33.17995992822658, 1.9570110110607475]</t>
  </si>
  <si>
    <t>QL</t>
  </si>
  <si>
    <t>[4.2147233219099665, 2.0551401610769116, 0.17608626714911307, 33.24055456606041, 1.9235623234436867]</t>
  </si>
  <si>
    <t>[1.1931517840869206, 2.0707975006397077, 0.08316611130713203, 31.233847234398127, 1.947397317576523]</t>
  </si>
  <si>
    <t>[4.641674093134145, 2.059003804437762, 0.5266262855765521, 31.09619834460318, 1.9467293556848442]</t>
  </si>
  <si>
    <t>[6.010843724012375, 2.075601026415825, 0.29508891701698303, 34.24824704229832, 1.87356299161911]</t>
  </si>
  <si>
    <t>[2.6003550589084625, 2.0561507642269135, 0.24199213087558746, 32.13799284398556, 1.9796087592840195]</t>
  </si>
  <si>
    <t>[7.213000691922742, 2.11511605138422, 0.2338127803993248, 32.147872425685385, 1.967928429832682]</t>
  </si>
  <si>
    <t>[8.24040465469687, 2.0641865394296732, 0.13471108350038544, 33.05394057305113, 1.96938364662435]</t>
  </si>
  <si>
    <t>[4.331187978386879, 2.055701360106468, 0.12924575805664062, 30.1297427713871, 1.9710153490304947]</t>
  </si>
  <si>
    <t>[4.203465997853373, 2.026448766660697, 0.34753481179528817, 34.31205734664731, 1.9427090591952514]</t>
  </si>
  <si>
    <t>[7.305043309926987, 2.0761011242866516, 0.17985191941261292, 35.19280759990215, 1.9896013736724854]</t>
  </si>
  <si>
    <t>[5.7121831088177375, 2.0308193265561703, 0.18124405144235384, 33.28314811284224, 1.9833637044679076]</t>
  </si>
  <si>
    <t>[2.5724272578954697, 2.1488122791051865, 0.044442951679229736, 31.827003210783005, 1.9300984889268875]</t>
  </si>
  <si>
    <t>[4.632461353132512, 2.0854517174884677, 0.19023438950001317, 35.38753111005086, 1.8848242472725945]</t>
  </si>
  <si>
    <t>[2.012097385505863, 2.0624737902917016, 0.07366306168685599, 32.57242074856094, 1.9878774402649935]</t>
  </si>
  <si>
    <t>[7.192350433580568, 2.106979085684863, 0.12971906096312386, 33.16323507751059, 1.9804751449835518]</t>
  </si>
  <si>
    <t>[2.880665659747101, 2.081573675650562, 0.060377745153351065, 33.129734194858834, 1.9721203834612597]</t>
  </si>
  <si>
    <t>[6.183298565025878, 2.0963370602228037, 0.1773832072618103, 32.15394910159978, 1.898442265982537]</t>
  </si>
  <si>
    <t>[2.370916113257408, 2.034025952219963, 0.17147110402584076, 32.45452581346035, 1.9790807515382767]</t>
  </si>
  <si>
    <t>[2.486058125222302, 2.1014730518365665, 0.11804962560037077, 32.259414065962275, 1.9130782994820397]</t>
  </si>
  <si>
    <t>[3.7891323052169854, 2.086093903960052, 0.22940116793468993, 31.42643783124103, 1.752254065742666]</t>
  </si>
  <si>
    <t>[7.072198486179282, 2.029552947411773, 0.029501247964157283, 32.52172607744684, 1.9427048623274903]</t>
  </si>
  <si>
    <t>[3.961981284653123, 2.0748418522694534, 0.12207477720907427, 32.355315646574255, 1.9411243274155134]</t>
  </si>
  <si>
    <t>resultlhs</t>
  </si>
  <si>
    <t>QL_lhs</t>
  </si>
  <si>
    <t>[7.781854674220085, 2.0792651772499084, 0.20533621311187744, 35.01362092792988, 1.8425161391496658]</t>
  </si>
  <si>
    <t>总实验样本</t>
  </si>
  <si>
    <t>均值</t>
  </si>
  <si>
    <t>[5.402599686500805, 2.0653168438002467, 0.27325415764379835, 36.25611370962233, 1.910909733953312]</t>
  </si>
  <si>
    <t>MH</t>
  </si>
  <si>
    <t>[5.360821333849632, 2.1616040319134915, 0.2022955072502837, 34.91525929852895, 1.927424859481956]</t>
  </si>
  <si>
    <t>[1.6466286691840017, 2.326522912506904, 0.22149558735219832, 33.79552745814574, 1.938881352648871]</t>
  </si>
  <si>
    <t>[6.527479961514473, 2.2135842740535736, 0.23445245623588562, 34.87954644858837, 1.8593151569366455]</t>
  </si>
  <si>
    <t>[7.36636577253996, 2.0105072520673275, 0.19056863978583646, 33.38073259678081, 1.9171683764353058]</t>
  </si>
  <si>
    <t>[5.8586571139054, 2.060366797605366, 0.2875064549545547, 33.25894631344283, 1.9588312963405647]</t>
  </si>
  <si>
    <t>[6.100506095705875, 2.0332996006147632, 0.8487374004619672, 36.27273003495288, 1.8575496376987695]</t>
  </si>
  <si>
    <t>[7.655887238948676, 2.123998298722478, 0.32409297106882845, 35.88985622836567, 1.9461958400158972]</t>
  </si>
  <si>
    <t>[5.683728409914245, 2.0744348860390893, 0.6659903669787373, 39.776824524076765, 1.9705878028196122]</t>
  </si>
  <si>
    <t>[7.837143805809319, 2.0698136922437698, 0.010896428721025586, 36.7554709174645, 1.8999935248866677]</t>
  </si>
  <si>
    <t>[4.604840652189008, 2.051592751432801, 0.3397425187448774, 42.58865020046428, 1.943112007435904]</t>
  </si>
  <si>
    <t>[6.330064236341027, 2.101023489415163, 0.059095557080581784, 35.39941728015265, 1.8566533077301837]</t>
  </si>
  <si>
    <t>[2.756912961602211, 2.16873237490654, 0.29379139840602875, 37.268679305911064, 1.9258198887109756]</t>
  </si>
  <si>
    <t>[3.7541917711496353, 2.0612926239169624, 0.3781134706833338, 34.4729627659612, 1.9657547762617469]</t>
  </si>
  <si>
    <t>[3.5473579334347, 2.0787371120724383, 0.2316125872801872, 33.478998257778585, 1.8937463648548647]</t>
  </si>
  <si>
    <t>[8.67893531811675, 2.0193777954163945, 0.4747719206187577, 35.81599678210491, 1.8958213228017657]</t>
  </si>
  <si>
    <t>[6.066242006448171, 2.0214831411458127, 0.3604312703265597, 35.81396945969942, 1.9131120046075383]</t>
  </si>
  <si>
    <t>[3.6488041430711746, 2.1404898166656494, 0.23955224454402924, 35.667062893509865, 1.901147022843361]</t>
  </si>
  <si>
    <t>[8.763879224658012, 2.0229518860578537, 0.2680508494377136, 35.1417360752821, 1.971679002046585]</t>
  </si>
  <si>
    <t>[6.070564334993389, 2.0417527483164353, 0.1331594608093597, 38.09934652639453, 1.7745662832695115]</t>
  </si>
  <si>
    <t>[7.14239390750225, 2.0274043058044624, 0.42644784227435484, 34.8783181449352, 1.8581791156417289]</t>
  </si>
  <si>
    <t>[2.8248950725416577, 2.075904778831154, 0.30776755417103885, 34.898831575998635, 1.9576865263129117]</t>
  </si>
  <si>
    <t>[4.9516802315182815, 2.0744924732446846, 0.22058592209485078, 35.76611358095406, 1.886969358195329]</t>
  </si>
  <si>
    <t>[6.834530789049688, 2.110799106596754, 0.1303060365346884, 33.940193908214205, 1.901171912857448]</t>
  </si>
  <si>
    <t>[5.913045240446659, 2.107237127067917, 0.34180701914983064, 36.322641215518125, 1.9238023509775721]</t>
  </si>
  <si>
    <t>[5.672719633310502, 2.0967893344040722, 0.3981276331403718, 37.754202314934304, 1.8455120184335483]</t>
  </si>
  <si>
    <t>[4.1502363006988015, 2.089300106471398, 0.1436596238896744, 35.48059030376988, 1.8824705035219025]</t>
  </si>
  <si>
    <t>[6.88389353454113, 2.0536095798015594, 0.34837378561496735, 37.440846636891365, 1.9532934576272964]</t>
  </si>
  <si>
    <t>[5.512788430406021, 2.0926144547544197, 0.19413500810476914, 39.02826046660338, 1.8295553530903272]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</si>
</sst>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Segoe UI"/>
      <charset val="134"/>
    </font>
    <font>
      <sz val="11"/>
      <color theme="1"/>
      <name val="Segoe UI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3"/>
  <sheetViews>
    <sheetView tabSelected="1" topLeftCell="B1" workbookViewId="0">
      <selection activeCell="O34" sqref="O34:AA37"/>
    </sheetView>
  </sheetViews>
  <sheetFormatPr defaultColWidth="9" defaultRowHeight="13.5"/>
  <cols>
    <col min="1" max="1" width="9" style="1"/>
    <col min="2" max="2" width="113.75" style="1" customWidth="1"/>
    <col min="3" max="3" width="12.625" style="1" customWidth="1"/>
    <col min="4" max="4" width="13.75" style="1" customWidth="1"/>
    <col min="5" max="5" width="14.125" customWidth="1"/>
    <col min="6" max="6" width="12.75" customWidth="1"/>
    <col min="9" max="13" width="12.625"/>
    <col min="14" max="14" width="13.75" style="1" customWidth="1"/>
    <col min="16" max="25" width="12.625"/>
    <col min="27" max="27" width="10.375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3" t="s">
        <v>3</v>
      </c>
      <c r="F1" s="1" t="s">
        <v>4</v>
      </c>
      <c r="G1" s="4" t="s">
        <v>5</v>
      </c>
      <c r="N1" s="2" t="s">
        <v>3</v>
      </c>
      <c r="O1" s="1" t="s">
        <v>6</v>
      </c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  <c r="Z1" s="1" t="s">
        <v>12</v>
      </c>
      <c r="AA1" s="1"/>
      <c r="AB1" s="1" t="s">
        <v>13</v>
      </c>
      <c r="AC1" s="1"/>
    </row>
    <row r="2" ht="16.5" spans="1:29">
      <c r="A2" s="1">
        <v>1</v>
      </c>
      <c r="B2" s="5" t="s">
        <v>14</v>
      </c>
      <c r="C2" s="1">
        <v>3477.3190832013</v>
      </c>
      <c r="D2" s="1">
        <v>347</v>
      </c>
      <c r="E2" s="6" t="s">
        <v>15</v>
      </c>
      <c r="F2" s="7">
        <f>MAX(D2:D31)</f>
        <v>392</v>
      </c>
      <c r="G2" s="7">
        <f>MAX(D33:D62)</f>
        <v>384</v>
      </c>
      <c r="I2">
        <v>1.45965640433132</v>
      </c>
      <c r="J2">
        <v>2.00986649758824</v>
      </c>
      <c r="K2">
        <v>0.290386502960362</v>
      </c>
      <c r="L2">
        <v>32.3941422828809</v>
      </c>
      <c r="M2">
        <v>1.93117290053471</v>
      </c>
      <c r="N2" s="1">
        <v>347</v>
      </c>
      <c r="O2" s="1"/>
      <c r="P2" s="1" t="s">
        <v>5</v>
      </c>
      <c r="Q2" s="1" t="s">
        <v>16</v>
      </c>
      <c r="R2" s="1" t="s">
        <v>5</v>
      </c>
      <c r="S2" s="1" t="s">
        <v>16</v>
      </c>
      <c r="T2" s="1" t="s">
        <v>5</v>
      </c>
      <c r="U2" s="1" t="s">
        <v>16</v>
      </c>
      <c r="V2" s="1" t="s">
        <v>5</v>
      </c>
      <c r="W2" s="1" t="s">
        <v>16</v>
      </c>
      <c r="X2" s="1" t="s">
        <v>5</v>
      </c>
      <c r="Y2" s="1" t="s">
        <v>16</v>
      </c>
      <c r="Z2" s="1" t="s">
        <v>5</v>
      </c>
      <c r="AA2" s="1" t="s">
        <v>16</v>
      </c>
      <c r="AB2" s="1" t="s">
        <v>5</v>
      </c>
      <c r="AC2" s="1" t="s">
        <v>16</v>
      </c>
    </row>
    <row r="3" ht="16.5" spans="1:29">
      <c r="A3" s="1">
        <v>2</v>
      </c>
      <c r="B3" s="5" t="s">
        <v>17</v>
      </c>
      <c r="C3" s="1">
        <v>10627.8225647958</v>
      </c>
      <c r="D3" s="1">
        <v>363</v>
      </c>
      <c r="E3" s="8" t="s">
        <v>18</v>
      </c>
      <c r="F3" s="7">
        <f>MIN(D2:D31)</f>
        <v>319</v>
      </c>
      <c r="G3" s="7">
        <f>MIN(D33:D62)</f>
        <v>272</v>
      </c>
      <c r="I3">
        <v>4.96996886210019</v>
      </c>
      <c r="J3">
        <v>2.09664486862727</v>
      </c>
      <c r="K3">
        <v>0.0993697630508625</v>
      </c>
      <c r="L3">
        <v>32.1421749559203</v>
      </c>
      <c r="M3">
        <v>1.8822303531152</v>
      </c>
      <c r="N3" s="1">
        <v>363</v>
      </c>
      <c r="O3" s="1">
        <v>1</v>
      </c>
      <c r="P3" s="9">
        <v>7.8</v>
      </c>
      <c r="Q3" s="9">
        <v>1.5</v>
      </c>
      <c r="R3" s="11">
        <v>2.08</v>
      </c>
      <c r="S3" s="11">
        <v>2.01</v>
      </c>
      <c r="T3" s="11">
        <v>0.21</v>
      </c>
      <c r="U3" s="11">
        <v>0.29</v>
      </c>
      <c r="V3" s="9">
        <v>35</v>
      </c>
      <c r="W3" s="9">
        <v>32.4</v>
      </c>
      <c r="X3" s="11">
        <v>1.84</v>
      </c>
      <c r="Y3" s="11">
        <v>1.93</v>
      </c>
      <c r="Z3" s="12">
        <v>0</v>
      </c>
      <c r="AA3" s="12">
        <v>0</v>
      </c>
      <c r="AB3" s="1">
        <v>346</v>
      </c>
      <c r="AC3" s="1">
        <v>347</v>
      </c>
    </row>
    <row r="4" ht="16.5" spans="1:29">
      <c r="A4" s="1">
        <v>3</v>
      </c>
      <c r="B4" s="5" t="s">
        <v>19</v>
      </c>
      <c r="C4" s="1">
        <v>4726.48227321164</v>
      </c>
      <c r="D4" s="1">
        <v>375</v>
      </c>
      <c r="E4" s="6" t="s">
        <v>20</v>
      </c>
      <c r="F4" s="7">
        <f>MEDIAN(D2:D31)</f>
        <v>372.5</v>
      </c>
      <c r="G4" s="7">
        <f>MEDIAN(D33:D62)</f>
        <v>356</v>
      </c>
      <c r="I4">
        <v>5.59205043250765</v>
      </c>
      <c r="J4">
        <v>2.0838822507783</v>
      </c>
      <c r="K4">
        <v>0.327775145166585</v>
      </c>
      <c r="L4">
        <v>33.827096675018</v>
      </c>
      <c r="M4">
        <v>1.99707388062961</v>
      </c>
      <c r="N4" s="1">
        <v>375</v>
      </c>
      <c r="O4" s="1">
        <v>2</v>
      </c>
      <c r="P4" s="9">
        <v>5.4</v>
      </c>
      <c r="Q4" s="9">
        <v>5</v>
      </c>
      <c r="R4" s="11">
        <v>2.07</v>
      </c>
      <c r="S4" s="11">
        <v>2.1</v>
      </c>
      <c r="T4" s="11">
        <v>0.27</v>
      </c>
      <c r="U4" s="11">
        <v>0.1</v>
      </c>
      <c r="V4" s="9">
        <v>36.3</v>
      </c>
      <c r="W4" s="9">
        <v>32.1</v>
      </c>
      <c r="X4" s="11">
        <v>1.91</v>
      </c>
      <c r="Y4" s="11">
        <v>1.88</v>
      </c>
      <c r="Z4" s="10">
        <v>0</v>
      </c>
      <c r="AA4" s="10">
        <v>0</v>
      </c>
      <c r="AB4" s="1">
        <v>361</v>
      </c>
      <c r="AC4" s="1">
        <v>363</v>
      </c>
    </row>
    <row r="5" ht="16.5" spans="1:29">
      <c r="A5" s="1">
        <v>4</v>
      </c>
      <c r="B5" s="5" t="s">
        <v>21</v>
      </c>
      <c r="C5" s="1">
        <v>2131.16477672957</v>
      </c>
      <c r="D5" s="1">
        <v>382</v>
      </c>
      <c r="E5" s="6" t="s">
        <v>22</v>
      </c>
      <c r="F5" s="7">
        <f>AVERAGE(D2:D31)</f>
        <v>366.6</v>
      </c>
      <c r="G5" s="7">
        <f>AVERAGE(D33:D62)</f>
        <v>351.344827586207</v>
      </c>
      <c r="I5">
        <v>5.79457176444121</v>
      </c>
      <c r="J5">
        <v>2.0127998793032</v>
      </c>
      <c r="K5">
        <v>0.243314693559053</v>
      </c>
      <c r="L5">
        <v>36.2914227651949</v>
      </c>
      <c r="M5">
        <v>1.94952251482554</v>
      </c>
      <c r="N5" s="1">
        <v>382</v>
      </c>
      <c r="O5" s="1">
        <v>3</v>
      </c>
      <c r="P5" s="9">
        <v>5.4</v>
      </c>
      <c r="Q5" s="9">
        <v>5.6</v>
      </c>
      <c r="R5" s="11">
        <v>2.16</v>
      </c>
      <c r="S5" s="11">
        <v>2.08</v>
      </c>
      <c r="T5" s="11">
        <v>0.2</v>
      </c>
      <c r="U5" s="11">
        <v>0.33</v>
      </c>
      <c r="V5" s="9">
        <v>34.9</v>
      </c>
      <c r="W5" s="9">
        <v>33.8</v>
      </c>
      <c r="X5" s="11">
        <v>1.93</v>
      </c>
      <c r="Y5" s="11">
        <v>2</v>
      </c>
      <c r="Z5" s="10">
        <v>0</v>
      </c>
      <c r="AA5" s="10">
        <v>0</v>
      </c>
      <c r="AB5" s="1">
        <v>342</v>
      </c>
      <c r="AC5" s="1">
        <v>375</v>
      </c>
    </row>
    <row r="6" ht="16.5" spans="1:29">
      <c r="A6" s="1">
        <v>5</v>
      </c>
      <c r="B6" s="5" t="s">
        <v>23</v>
      </c>
      <c r="C6" s="1">
        <v>14924.0873343603</v>
      </c>
      <c r="D6" s="1">
        <v>319</v>
      </c>
      <c r="E6" s="6" t="s">
        <v>24</v>
      </c>
      <c r="F6" s="7">
        <f>QUARTILE(D2:D31,1)</f>
        <v>356</v>
      </c>
      <c r="G6" s="7">
        <f>QUARTILE(D33:D62,1)</f>
        <v>346</v>
      </c>
      <c r="I6">
        <v>4.67835557460784</v>
      </c>
      <c r="J6">
        <v>2.03393478691577</v>
      </c>
      <c r="K6">
        <v>0.326695472002029</v>
      </c>
      <c r="L6">
        <v>35.5682218521833</v>
      </c>
      <c r="M6">
        <v>1.6497156471014</v>
      </c>
      <c r="N6" s="1">
        <v>319</v>
      </c>
      <c r="O6" s="1">
        <v>4</v>
      </c>
      <c r="P6" s="9">
        <v>1.6</v>
      </c>
      <c r="Q6" s="9">
        <v>5.8</v>
      </c>
      <c r="R6" s="11">
        <v>2.33</v>
      </c>
      <c r="S6" s="11">
        <v>2.01</v>
      </c>
      <c r="T6" s="11">
        <v>0.22</v>
      </c>
      <c r="U6" s="11">
        <v>0.24</v>
      </c>
      <c r="V6" s="9">
        <v>33.8</v>
      </c>
      <c r="W6" s="9">
        <v>36.3</v>
      </c>
      <c r="X6" s="11">
        <v>1.94</v>
      </c>
      <c r="Y6" s="11">
        <v>1.95</v>
      </c>
      <c r="Z6" s="12">
        <v>0</v>
      </c>
      <c r="AA6" s="12">
        <v>0</v>
      </c>
      <c r="AB6" s="1">
        <v>272</v>
      </c>
      <c r="AC6" s="1">
        <v>382</v>
      </c>
    </row>
    <row r="7" ht="16.5" spans="1:29">
      <c r="A7" s="1">
        <v>6</v>
      </c>
      <c r="B7" s="5" t="s">
        <v>25</v>
      </c>
      <c r="C7" s="1">
        <v>3692.01112874732</v>
      </c>
      <c r="D7" s="1">
        <v>383</v>
      </c>
      <c r="E7" s="6" t="s">
        <v>26</v>
      </c>
      <c r="F7" s="7">
        <f>QUARTILE(D2:D31,3)</f>
        <v>378</v>
      </c>
      <c r="G7" s="7">
        <f>QUARTILE(D33:D62,3)</f>
        <v>361</v>
      </c>
      <c r="I7">
        <v>4.32309906184673</v>
      </c>
      <c r="J7">
        <v>2.06217651069164</v>
      </c>
      <c r="K7">
        <v>0.0425898283720016</v>
      </c>
      <c r="L7">
        <v>33.1094315946102</v>
      </c>
      <c r="M7">
        <v>1.97340458631515</v>
      </c>
      <c r="N7" s="1">
        <v>383</v>
      </c>
      <c r="O7" s="1">
        <v>5</v>
      </c>
      <c r="P7" s="9">
        <v>6.5</v>
      </c>
      <c r="Q7" s="9">
        <v>4.7</v>
      </c>
      <c r="R7" s="11">
        <v>2.21</v>
      </c>
      <c r="S7" s="11">
        <v>2.03</v>
      </c>
      <c r="T7" s="11">
        <v>0.23</v>
      </c>
      <c r="U7" s="11">
        <v>0.33</v>
      </c>
      <c r="V7" s="9">
        <v>34.9</v>
      </c>
      <c r="W7" s="9">
        <v>35.6</v>
      </c>
      <c r="X7" s="11">
        <v>1.86</v>
      </c>
      <c r="Y7" s="11">
        <v>1.65</v>
      </c>
      <c r="Z7" s="10">
        <v>0</v>
      </c>
      <c r="AA7" s="10">
        <v>0</v>
      </c>
      <c r="AB7" s="1">
        <v>310</v>
      </c>
      <c r="AC7" s="1">
        <v>319</v>
      </c>
    </row>
    <row r="8" spans="1:29">
      <c r="A8" s="1">
        <v>7</v>
      </c>
      <c r="B8" s="5" t="s">
        <v>27</v>
      </c>
      <c r="C8" s="1">
        <v>5984.05064682773</v>
      </c>
      <c r="D8" s="1">
        <v>378</v>
      </c>
      <c r="E8" s="1"/>
      <c r="F8" s="1"/>
      <c r="G8" s="4"/>
      <c r="I8">
        <v>3.3029711188379</v>
      </c>
      <c r="J8">
        <v>2.06033908562459</v>
      </c>
      <c r="K8">
        <v>0.215333896451889</v>
      </c>
      <c r="L8">
        <v>31.2435633222608</v>
      </c>
      <c r="M8">
        <v>1.96743937938655</v>
      </c>
      <c r="N8" s="1">
        <v>378</v>
      </c>
      <c r="O8" s="1">
        <v>6</v>
      </c>
      <c r="P8" s="9">
        <v>7.4</v>
      </c>
      <c r="Q8" s="9">
        <v>4.3</v>
      </c>
      <c r="R8" s="11">
        <v>2.01</v>
      </c>
      <c r="S8" s="11">
        <v>2.06</v>
      </c>
      <c r="T8" s="11">
        <v>0.19</v>
      </c>
      <c r="U8" s="11">
        <v>0.04</v>
      </c>
      <c r="V8" s="9">
        <v>33.4</v>
      </c>
      <c r="W8" s="9">
        <v>33.1</v>
      </c>
      <c r="X8" s="11">
        <v>1.92</v>
      </c>
      <c r="Y8" s="11">
        <v>1.97</v>
      </c>
      <c r="Z8" s="10">
        <v>0</v>
      </c>
      <c r="AA8" s="10">
        <v>0</v>
      </c>
      <c r="AB8" s="1">
        <v>384</v>
      </c>
      <c r="AC8" s="1">
        <v>383</v>
      </c>
    </row>
    <row r="9" spans="1:29">
      <c r="A9" s="1">
        <v>8</v>
      </c>
      <c r="B9" s="5" t="s">
        <v>28</v>
      </c>
      <c r="C9" s="1">
        <v>5575.34877931996</v>
      </c>
      <c r="D9" s="1">
        <v>380</v>
      </c>
      <c r="E9" s="1" t="s">
        <v>29</v>
      </c>
      <c r="F9" s="1"/>
      <c r="G9" s="4"/>
      <c r="I9">
        <v>3.36978299465816</v>
      </c>
      <c r="J9">
        <v>2.0399314503136</v>
      </c>
      <c r="K9">
        <v>0.0858176410821586</v>
      </c>
      <c r="L9">
        <v>33.1799599282265</v>
      </c>
      <c r="M9">
        <v>1.95701101106074</v>
      </c>
      <c r="N9" s="1">
        <v>380</v>
      </c>
      <c r="O9" s="1">
        <v>7</v>
      </c>
      <c r="P9" s="9">
        <v>5.9</v>
      </c>
      <c r="Q9" s="9">
        <v>3.3</v>
      </c>
      <c r="R9" s="11">
        <v>2.06</v>
      </c>
      <c r="S9" s="11">
        <v>2.06</v>
      </c>
      <c r="T9" s="11">
        <v>0.29</v>
      </c>
      <c r="U9" s="11">
        <v>0.22</v>
      </c>
      <c r="V9" s="9">
        <v>33.3</v>
      </c>
      <c r="W9" s="9">
        <v>31.2</v>
      </c>
      <c r="X9" s="11">
        <v>1.96</v>
      </c>
      <c r="Y9" s="11">
        <v>1.97</v>
      </c>
      <c r="Z9" s="12">
        <v>0</v>
      </c>
      <c r="AA9" s="12">
        <v>0</v>
      </c>
      <c r="AB9" s="1">
        <v>376</v>
      </c>
      <c r="AC9" s="1">
        <v>378</v>
      </c>
    </row>
    <row r="10" ht="16.5" spans="1:29">
      <c r="A10" s="1">
        <v>9</v>
      </c>
      <c r="B10" s="5" t="s">
        <v>30</v>
      </c>
      <c r="C10" s="1">
        <v>4216.68064516097</v>
      </c>
      <c r="D10" s="1">
        <v>374</v>
      </c>
      <c r="E10" s="6" t="s">
        <v>15</v>
      </c>
      <c r="F10" s="1">
        <f>MAX(C2:C31)</f>
        <v>14924.0873343603</v>
      </c>
      <c r="G10" s="4">
        <f>MAX(C33:C62)</f>
        <v>21441.4719431842</v>
      </c>
      <c r="I10">
        <v>4.21472332190996</v>
      </c>
      <c r="J10">
        <v>2.05514016107691</v>
      </c>
      <c r="K10">
        <v>0.176086267149113</v>
      </c>
      <c r="L10">
        <v>33.2405545660604</v>
      </c>
      <c r="M10">
        <v>1.92356232344368</v>
      </c>
      <c r="N10" s="1">
        <v>374</v>
      </c>
      <c r="O10" s="1">
        <v>8</v>
      </c>
      <c r="P10" s="9">
        <v>6.1</v>
      </c>
      <c r="Q10" s="9">
        <v>3.4</v>
      </c>
      <c r="R10" s="11">
        <v>2.03</v>
      </c>
      <c r="S10" s="11">
        <v>2.04</v>
      </c>
      <c r="T10" s="11">
        <v>0.85</v>
      </c>
      <c r="U10" s="11">
        <v>0.09</v>
      </c>
      <c r="V10" s="9">
        <v>36.3</v>
      </c>
      <c r="W10" s="9">
        <v>33.2</v>
      </c>
      <c r="X10" s="11">
        <v>1.86</v>
      </c>
      <c r="Y10" s="11">
        <v>1.96</v>
      </c>
      <c r="Z10" s="10">
        <v>0</v>
      </c>
      <c r="AA10" s="10">
        <v>0</v>
      </c>
      <c r="AB10" s="1">
        <v>352</v>
      </c>
      <c r="AC10" s="1">
        <v>380</v>
      </c>
    </row>
    <row r="11" ht="15" spans="1:29">
      <c r="A11" s="1">
        <v>10</v>
      </c>
      <c r="B11" s="5" t="s">
        <v>31</v>
      </c>
      <c r="C11" s="1">
        <v>4862.51764043212</v>
      </c>
      <c r="D11" s="1">
        <v>325</v>
      </c>
      <c r="E11" s="8" t="s">
        <v>18</v>
      </c>
      <c r="F11" s="1">
        <f>MIN(C2:C31)</f>
        <v>2131.16477672957</v>
      </c>
      <c r="G11" s="4">
        <f>MIN(C33:C62)</f>
        <v>3271.3748898293</v>
      </c>
      <c r="I11">
        <v>1.19315178408692</v>
      </c>
      <c r="J11">
        <v>2.0707975006397</v>
      </c>
      <c r="K11">
        <v>0.083166111307132</v>
      </c>
      <c r="L11">
        <v>31.2338472343981</v>
      </c>
      <c r="M11">
        <v>1.94739731757652</v>
      </c>
      <c r="N11" s="1">
        <v>325</v>
      </c>
      <c r="O11" s="1">
        <v>9</v>
      </c>
      <c r="P11" s="9">
        <v>7.7</v>
      </c>
      <c r="Q11" s="9">
        <v>4.2</v>
      </c>
      <c r="R11" s="11">
        <v>2.12</v>
      </c>
      <c r="S11" s="11">
        <v>2.06</v>
      </c>
      <c r="T11" s="11">
        <v>0.32</v>
      </c>
      <c r="U11" s="11">
        <v>0.18</v>
      </c>
      <c r="V11" s="9">
        <v>35.9</v>
      </c>
      <c r="W11" s="9">
        <v>33.2</v>
      </c>
      <c r="X11" s="11">
        <v>1.95</v>
      </c>
      <c r="Y11" s="11">
        <v>1.92</v>
      </c>
      <c r="Z11" s="10">
        <v>0</v>
      </c>
      <c r="AA11" s="10">
        <v>0</v>
      </c>
      <c r="AB11" s="1">
        <v>347</v>
      </c>
      <c r="AC11" s="1">
        <v>374</v>
      </c>
    </row>
    <row r="12" ht="16.5" spans="1:29">
      <c r="A12" s="1">
        <v>11</v>
      </c>
      <c r="B12" s="5" t="s">
        <v>32</v>
      </c>
      <c r="C12" s="1">
        <v>4266.64381931991</v>
      </c>
      <c r="D12" s="1">
        <v>376</v>
      </c>
      <c r="E12" s="6" t="s">
        <v>20</v>
      </c>
      <c r="F12" s="1">
        <f>MEDIAN(C2:C31)</f>
        <v>4794.49995682188</v>
      </c>
      <c r="G12" s="4">
        <f>MEDIAN(C33:C62)</f>
        <v>8172.88507246635</v>
      </c>
      <c r="I12">
        <v>4.64167409313414</v>
      </c>
      <c r="J12">
        <v>2.05900380443776</v>
      </c>
      <c r="K12">
        <v>0.526626285576552</v>
      </c>
      <c r="L12">
        <v>31.0961983446031</v>
      </c>
      <c r="M12">
        <v>1.94672935568484</v>
      </c>
      <c r="N12" s="1">
        <v>376</v>
      </c>
      <c r="O12" s="1">
        <v>10</v>
      </c>
      <c r="P12" s="9">
        <v>5.7</v>
      </c>
      <c r="Q12" s="9">
        <v>1.2</v>
      </c>
      <c r="R12" s="11">
        <v>2.07</v>
      </c>
      <c r="S12" s="11">
        <v>2.07</v>
      </c>
      <c r="T12" s="11">
        <v>0.67</v>
      </c>
      <c r="U12" s="11">
        <v>0.08</v>
      </c>
      <c r="V12" s="9">
        <v>39.8</v>
      </c>
      <c r="W12" s="9">
        <v>31.2</v>
      </c>
      <c r="X12" s="11">
        <v>1.97</v>
      </c>
      <c r="Y12" s="11">
        <v>1.95</v>
      </c>
      <c r="Z12" s="12">
        <v>0</v>
      </c>
      <c r="AA12" s="12">
        <v>0</v>
      </c>
      <c r="AB12" s="1">
        <v>356</v>
      </c>
      <c r="AC12" s="1">
        <v>325</v>
      </c>
    </row>
    <row r="13" ht="16.5" spans="1:29">
      <c r="A13" s="1">
        <v>12</v>
      </c>
      <c r="B13" s="5" t="s">
        <v>33</v>
      </c>
      <c r="C13" s="1">
        <v>5047.81946510099</v>
      </c>
      <c r="D13" s="1">
        <v>355</v>
      </c>
      <c r="E13" s="6" t="s">
        <v>22</v>
      </c>
      <c r="F13" s="1">
        <f>AVERAGE(C2:C31)</f>
        <v>5597.5326271804</v>
      </c>
      <c r="G13" s="4">
        <f>AVERAGE(C33:C62)</f>
        <v>8871.29849735587</v>
      </c>
      <c r="I13">
        <v>6.01084372401237</v>
      </c>
      <c r="J13">
        <v>2.07560102641582</v>
      </c>
      <c r="K13">
        <v>0.295088917016983</v>
      </c>
      <c r="L13">
        <v>34.2482470422983</v>
      </c>
      <c r="M13">
        <v>1.87356299161911</v>
      </c>
      <c r="N13" s="1">
        <v>355</v>
      </c>
      <c r="O13" s="1">
        <v>11</v>
      </c>
      <c r="P13" s="9">
        <v>7.8</v>
      </c>
      <c r="Q13" s="9">
        <v>4.6</v>
      </c>
      <c r="R13" s="11">
        <v>2.07</v>
      </c>
      <c r="S13" s="11">
        <v>2.06</v>
      </c>
      <c r="T13" s="11">
        <v>0.01</v>
      </c>
      <c r="U13" s="11">
        <v>0.53</v>
      </c>
      <c r="V13" s="9">
        <v>36.8</v>
      </c>
      <c r="W13" s="9">
        <v>31.1</v>
      </c>
      <c r="X13" s="11">
        <v>1.9</v>
      </c>
      <c r="Y13" s="11">
        <v>1.95</v>
      </c>
      <c r="Z13" s="10">
        <v>0</v>
      </c>
      <c r="AA13" s="10">
        <v>0</v>
      </c>
      <c r="AB13" s="1">
        <v>367</v>
      </c>
      <c r="AC13" s="1">
        <v>376</v>
      </c>
    </row>
    <row r="14" ht="16.5" spans="1:29">
      <c r="A14" s="1">
        <v>13</v>
      </c>
      <c r="B14" s="5" t="s">
        <v>34</v>
      </c>
      <c r="C14" s="1">
        <v>5337.30149662695</v>
      </c>
      <c r="D14" s="1">
        <v>371</v>
      </c>
      <c r="E14" s="6" t="s">
        <v>24</v>
      </c>
      <c r="F14" s="1">
        <f>QUARTILE(C2:C31,1)</f>
        <v>3481.38028426582</v>
      </c>
      <c r="G14" s="4">
        <f>QUARTILE(C33:C62,1)</f>
        <v>6414.12012864637</v>
      </c>
      <c r="I14">
        <v>2.60035505890846</v>
      </c>
      <c r="J14">
        <v>2.05615076422691</v>
      </c>
      <c r="K14">
        <v>0.241992130875587</v>
      </c>
      <c r="L14">
        <v>32.1379928439855</v>
      </c>
      <c r="M14">
        <v>1.97960875928401</v>
      </c>
      <c r="N14" s="1">
        <v>371</v>
      </c>
      <c r="O14" s="1">
        <v>12</v>
      </c>
      <c r="P14" s="9">
        <v>4.6</v>
      </c>
      <c r="Q14" s="9">
        <v>6</v>
      </c>
      <c r="R14" s="11">
        <v>2.05</v>
      </c>
      <c r="S14" s="11">
        <v>2.08</v>
      </c>
      <c r="T14" s="11">
        <v>0.34</v>
      </c>
      <c r="U14" s="11">
        <v>0.3</v>
      </c>
      <c r="V14" s="9">
        <v>42.6</v>
      </c>
      <c r="W14" s="9">
        <v>34.2</v>
      </c>
      <c r="X14" s="11">
        <v>1.94</v>
      </c>
      <c r="Y14" s="11">
        <v>1.87</v>
      </c>
      <c r="Z14" s="10">
        <v>0</v>
      </c>
      <c r="AA14" s="10">
        <v>0</v>
      </c>
      <c r="AB14" s="1">
        <v>356</v>
      </c>
      <c r="AC14" s="1">
        <v>355</v>
      </c>
    </row>
    <row r="15" ht="16.5" spans="1:29">
      <c r="A15" s="1">
        <v>14</v>
      </c>
      <c r="B15" s="5" t="s">
        <v>35</v>
      </c>
      <c r="C15" s="1">
        <v>5814.81996582758</v>
      </c>
      <c r="D15" s="1">
        <v>367</v>
      </c>
      <c r="E15" s="6" t="s">
        <v>26</v>
      </c>
      <c r="F15" s="1">
        <f>QUARTILE(C2:C31,3)</f>
        <v>5943.40649167511</v>
      </c>
      <c r="G15" s="4">
        <f>QUARTILE(C33:C62,3)</f>
        <v>10968.4831093518</v>
      </c>
      <c r="I15">
        <v>7.21300069192274</v>
      </c>
      <c r="J15">
        <v>2.11511605138422</v>
      </c>
      <c r="K15">
        <v>0.233812780399324</v>
      </c>
      <c r="L15">
        <v>32.1478724256853</v>
      </c>
      <c r="M15">
        <v>1.96792842983268</v>
      </c>
      <c r="N15" s="1">
        <v>367</v>
      </c>
      <c r="O15" s="1">
        <v>13</v>
      </c>
      <c r="P15" s="9">
        <v>6.3</v>
      </c>
      <c r="Q15" s="9">
        <v>2.6</v>
      </c>
      <c r="R15" s="11">
        <v>2.1</v>
      </c>
      <c r="S15" s="11">
        <v>2.06</v>
      </c>
      <c r="T15" s="11">
        <v>0.06</v>
      </c>
      <c r="U15" s="11">
        <v>0.24</v>
      </c>
      <c r="V15" s="9">
        <v>35.4</v>
      </c>
      <c r="W15" s="9">
        <v>32.1</v>
      </c>
      <c r="X15" s="11">
        <v>1.86</v>
      </c>
      <c r="Y15" s="11">
        <v>1.98</v>
      </c>
      <c r="Z15" s="12">
        <v>0</v>
      </c>
      <c r="AA15" s="12">
        <v>0</v>
      </c>
      <c r="AB15" s="1">
        <v>350</v>
      </c>
      <c r="AC15" s="1">
        <v>371</v>
      </c>
    </row>
    <row r="16" spans="1:29">
      <c r="A16" s="1">
        <v>15</v>
      </c>
      <c r="B16" s="5" t="s">
        <v>36</v>
      </c>
      <c r="C16" s="1">
        <v>7449.127814666</v>
      </c>
      <c r="D16" s="1">
        <v>381</v>
      </c>
      <c r="I16">
        <v>8.24040465469687</v>
      </c>
      <c r="J16">
        <v>2.06418653942967</v>
      </c>
      <c r="K16">
        <v>0.134711083500385</v>
      </c>
      <c r="L16">
        <v>33.0539405730511</v>
      </c>
      <c r="M16">
        <v>1.96938364662435</v>
      </c>
      <c r="N16" s="1">
        <v>381</v>
      </c>
      <c r="O16" s="1">
        <v>14</v>
      </c>
      <c r="P16" s="9">
        <v>2.8</v>
      </c>
      <c r="Q16" s="9">
        <v>7.2</v>
      </c>
      <c r="R16" s="11">
        <v>2.17</v>
      </c>
      <c r="S16" s="11">
        <v>2.12</v>
      </c>
      <c r="T16" s="11">
        <v>0.29</v>
      </c>
      <c r="U16" s="11">
        <v>0.23</v>
      </c>
      <c r="V16" s="9">
        <v>37.3</v>
      </c>
      <c r="W16" s="9">
        <v>32.1</v>
      </c>
      <c r="X16" s="11">
        <v>1.93</v>
      </c>
      <c r="Y16" s="11">
        <v>1.97</v>
      </c>
      <c r="Z16" s="10">
        <v>0</v>
      </c>
      <c r="AA16" s="10">
        <v>0</v>
      </c>
      <c r="AB16" s="1">
        <v>323</v>
      </c>
      <c r="AC16" s="1">
        <v>367</v>
      </c>
    </row>
    <row r="17" spans="1:29">
      <c r="A17" s="1">
        <v>16</v>
      </c>
      <c r="B17" s="5" t="s">
        <v>37</v>
      </c>
      <c r="C17" s="1">
        <v>2309.21758024124</v>
      </c>
      <c r="D17" s="1">
        <v>388</v>
      </c>
      <c r="I17">
        <v>4.33118797838687</v>
      </c>
      <c r="J17">
        <v>2.05570136010646</v>
      </c>
      <c r="K17">
        <v>0.12924575805664</v>
      </c>
      <c r="L17">
        <v>30.1297427713871</v>
      </c>
      <c r="M17">
        <v>1.97101534903049</v>
      </c>
      <c r="N17" s="1">
        <v>388</v>
      </c>
      <c r="O17" s="1">
        <v>15</v>
      </c>
      <c r="P17" s="9">
        <v>3.8</v>
      </c>
      <c r="Q17" s="9">
        <v>8.2</v>
      </c>
      <c r="R17" s="11">
        <v>2.06</v>
      </c>
      <c r="S17" s="11">
        <v>2.06</v>
      </c>
      <c r="T17" s="11">
        <v>0.38</v>
      </c>
      <c r="U17" s="11">
        <v>0.13</v>
      </c>
      <c r="V17" s="9">
        <v>34.5</v>
      </c>
      <c r="W17" s="9">
        <v>33.1</v>
      </c>
      <c r="X17" s="11">
        <v>1.97</v>
      </c>
      <c r="Y17" s="11">
        <v>1.97</v>
      </c>
      <c r="Z17" s="10">
        <v>0</v>
      </c>
      <c r="AA17" s="10">
        <v>0</v>
      </c>
      <c r="AB17" s="1">
        <v>371</v>
      </c>
      <c r="AC17" s="1">
        <v>381</v>
      </c>
    </row>
    <row r="18" spans="1:29">
      <c r="A18" s="1">
        <v>17</v>
      </c>
      <c r="B18" s="5" t="s">
        <v>38</v>
      </c>
      <c r="C18" s="1">
        <v>3493.56388745939</v>
      </c>
      <c r="D18" s="1">
        <v>378</v>
      </c>
      <c r="I18">
        <v>4.20346599785337</v>
      </c>
      <c r="J18">
        <v>2.02644876666069</v>
      </c>
      <c r="K18">
        <v>0.347534811795288</v>
      </c>
      <c r="L18">
        <v>34.3120573466473</v>
      </c>
      <c r="M18">
        <v>1.94270905919525</v>
      </c>
      <c r="N18" s="1">
        <v>378</v>
      </c>
      <c r="O18" s="1">
        <v>16</v>
      </c>
      <c r="P18" s="9">
        <v>3.5</v>
      </c>
      <c r="Q18" s="9">
        <v>4.3</v>
      </c>
      <c r="R18" s="11">
        <v>2.08</v>
      </c>
      <c r="S18" s="11">
        <v>2.06</v>
      </c>
      <c r="T18" s="11">
        <v>0.23</v>
      </c>
      <c r="U18" s="11">
        <v>0.13</v>
      </c>
      <c r="V18" s="9">
        <v>33.5</v>
      </c>
      <c r="W18" s="9">
        <v>30.1</v>
      </c>
      <c r="X18" s="11">
        <v>1.89</v>
      </c>
      <c r="Y18" s="11">
        <v>1.97</v>
      </c>
      <c r="Z18" s="12">
        <v>0</v>
      </c>
      <c r="AA18" s="12">
        <v>0</v>
      </c>
      <c r="AB18" s="1">
        <v>359</v>
      </c>
      <c r="AC18" s="1">
        <v>388</v>
      </c>
    </row>
    <row r="19" spans="1:29">
      <c r="A19" s="1">
        <v>18</v>
      </c>
      <c r="B19" s="5" t="s">
        <v>39</v>
      </c>
      <c r="C19" s="1">
        <v>3419.49918248137</v>
      </c>
      <c r="D19" s="1">
        <v>376</v>
      </c>
      <c r="I19">
        <v>7.30504330992698</v>
      </c>
      <c r="J19">
        <v>2.07610112428665</v>
      </c>
      <c r="K19">
        <v>0.179851919412612</v>
      </c>
      <c r="L19">
        <v>35.1928075999021</v>
      </c>
      <c r="M19">
        <v>1.98960137367248</v>
      </c>
      <c r="N19" s="1">
        <v>376</v>
      </c>
      <c r="O19" s="1">
        <v>17</v>
      </c>
      <c r="P19" s="9">
        <v>8.7</v>
      </c>
      <c r="Q19" s="9">
        <v>4.2</v>
      </c>
      <c r="R19" s="11">
        <v>2.02</v>
      </c>
      <c r="S19" s="11">
        <v>2.03</v>
      </c>
      <c r="T19" s="11">
        <v>0.47</v>
      </c>
      <c r="U19" s="11">
        <v>0.35</v>
      </c>
      <c r="V19" s="9">
        <v>35.8</v>
      </c>
      <c r="W19" s="9">
        <v>34.3</v>
      </c>
      <c r="X19" s="11">
        <v>1.9</v>
      </c>
      <c r="Y19" s="11">
        <v>1.94</v>
      </c>
      <c r="Z19" s="10">
        <v>0</v>
      </c>
      <c r="AA19" s="10">
        <v>0</v>
      </c>
      <c r="AB19" s="1">
        <v>361</v>
      </c>
      <c r="AC19" s="1">
        <v>378</v>
      </c>
    </row>
    <row r="20" spans="1:29">
      <c r="A20" s="1">
        <v>19</v>
      </c>
      <c r="B20" s="5" t="s">
        <v>40</v>
      </c>
      <c r="C20" s="1">
        <v>3329.25810250248</v>
      </c>
      <c r="D20" s="1">
        <v>390</v>
      </c>
      <c r="I20">
        <v>5.71218310881773</v>
      </c>
      <c r="J20">
        <v>2.03081932655617</v>
      </c>
      <c r="K20">
        <v>0.181244051442353</v>
      </c>
      <c r="L20">
        <v>33.2831481128422</v>
      </c>
      <c r="M20">
        <v>1.9833637044679</v>
      </c>
      <c r="N20" s="1">
        <v>390</v>
      </c>
      <c r="O20" s="1">
        <v>18</v>
      </c>
      <c r="P20" s="9">
        <v>6.1</v>
      </c>
      <c r="Q20" s="9">
        <v>7.3</v>
      </c>
      <c r="R20" s="11">
        <v>2.02</v>
      </c>
      <c r="S20" s="11">
        <v>2.08</v>
      </c>
      <c r="T20" s="11">
        <v>0.36</v>
      </c>
      <c r="U20" s="11">
        <v>0.18</v>
      </c>
      <c r="V20" s="9">
        <v>35.8</v>
      </c>
      <c r="W20" s="9">
        <v>35.2</v>
      </c>
      <c r="X20" s="11">
        <v>1.91</v>
      </c>
      <c r="Y20" s="11">
        <v>1.99</v>
      </c>
      <c r="Z20" s="10">
        <v>0</v>
      </c>
      <c r="AA20" s="10">
        <v>0</v>
      </c>
      <c r="AB20" s="1">
        <v>372</v>
      </c>
      <c r="AC20" s="1">
        <v>376</v>
      </c>
    </row>
    <row r="21" spans="1:29">
      <c r="A21" s="1">
        <v>20</v>
      </c>
      <c r="B21" s="5" t="s">
        <v>41</v>
      </c>
      <c r="C21" s="1">
        <v>9384.08141467976</v>
      </c>
      <c r="D21" s="1">
        <v>345</v>
      </c>
      <c r="I21">
        <v>2.57242725789546</v>
      </c>
      <c r="J21">
        <v>2.14881227910518</v>
      </c>
      <c r="K21">
        <v>0.0444429516792297</v>
      </c>
      <c r="L21">
        <v>31.827003210783</v>
      </c>
      <c r="M21">
        <v>1.93009848892688</v>
      </c>
      <c r="N21" s="1">
        <v>345</v>
      </c>
      <c r="O21" s="1">
        <v>19</v>
      </c>
      <c r="P21" s="9">
        <v>3.6</v>
      </c>
      <c r="Q21" s="9">
        <v>5.7</v>
      </c>
      <c r="R21" s="11">
        <v>2.14</v>
      </c>
      <c r="S21" s="11">
        <v>2.03</v>
      </c>
      <c r="T21" s="11">
        <v>0.24</v>
      </c>
      <c r="U21" s="11">
        <v>0.18</v>
      </c>
      <c r="V21" s="9">
        <v>35.7</v>
      </c>
      <c r="W21" s="9">
        <v>33.3</v>
      </c>
      <c r="X21" s="11">
        <v>1.9</v>
      </c>
      <c r="Y21" s="11">
        <v>1.98</v>
      </c>
      <c r="Z21" s="12">
        <v>0</v>
      </c>
      <c r="AA21" s="12">
        <v>0</v>
      </c>
      <c r="AB21" s="1">
        <v>337</v>
      </c>
      <c r="AC21" s="1">
        <v>390</v>
      </c>
    </row>
    <row r="22" spans="1:29">
      <c r="A22" s="1">
        <v>21</v>
      </c>
      <c r="B22" s="5" t="s">
        <v>42</v>
      </c>
      <c r="C22" s="1">
        <v>4453.36684192899</v>
      </c>
      <c r="D22" s="1">
        <v>354</v>
      </c>
      <c r="I22">
        <v>4.63246135313251</v>
      </c>
      <c r="J22">
        <v>2.08545171748846</v>
      </c>
      <c r="K22">
        <v>0.190234389500013</v>
      </c>
      <c r="L22">
        <v>35.3875311100508</v>
      </c>
      <c r="M22">
        <v>1.88482424727259</v>
      </c>
      <c r="N22" s="1">
        <v>354</v>
      </c>
      <c r="O22" s="1">
        <v>20</v>
      </c>
      <c r="P22" s="9">
        <v>8.8</v>
      </c>
      <c r="Q22" s="9">
        <v>2.6</v>
      </c>
      <c r="R22" s="11">
        <v>2.02</v>
      </c>
      <c r="S22" s="11">
        <v>2.15</v>
      </c>
      <c r="T22" s="11">
        <v>0.27</v>
      </c>
      <c r="U22" s="11">
        <v>0.04</v>
      </c>
      <c r="V22" s="9">
        <v>35.1</v>
      </c>
      <c r="W22" s="9">
        <v>31.8</v>
      </c>
      <c r="X22" s="11">
        <v>1.97</v>
      </c>
      <c r="Y22" s="11">
        <v>1.93</v>
      </c>
      <c r="Z22" s="10">
        <v>0</v>
      </c>
      <c r="AA22" s="10">
        <v>0</v>
      </c>
      <c r="AB22" s="1">
        <v>381</v>
      </c>
      <c r="AC22" s="1">
        <v>345</v>
      </c>
    </row>
    <row r="23" spans="1:29">
      <c r="A23" s="1">
        <v>22</v>
      </c>
      <c r="B23" s="5" t="s">
        <v>43</v>
      </c>
      <c r="C23" s="1">
        <v>2877.88633363106</v>
      </c>
      <c r="D23" s="1">
        <v>359</v>
      </c>
      <c r="I23">
        <v>2.01209738550586</v>
      </c>
      <c r="J23">
        <v>2.0624737902917</v>
      </c>
      <c r="K23">
        <v>0.0736630616868559</v>
      </c>
      <c r="L23">
        <v>32.5724207485609</v>
      </c>
      <c r="M23">
        <v>1.98787744026499</v>
      </c>
      <c r="N23" s="1">
        <v>359</v>
      </c>
      <c r="O23" s="1">
        <v>21</v>
      </c>
      <c r="P23" s="9">
        <v>6.1</v>
      </c>
      <c r="Q23" s="9">
        <v>4.6</v>
      </c>
      <c r="R23" s="11">
        <v>2.04</v>
      </c>
      <c r="S23" s="11">
        <v>2.09</v>
      </c>
      <c r="T23" s="11">
        <v>0.13</v>
      </c>
      <c r="U23" s="11">
        <v>0.19</v>
      </c>
      <c r="V23" s="9">
        <v>38.1</v>
      </c>
      <c r="W23" s="9">
        <v>35.4</v>
      </c>
      <c r="X23" s="11">
        <v>1.77</v>
      </c>
      <c r="Y23" s="11">
        <v>1.88</v>
      </c>
      <c r="Z23" s="10">
        <v>0</v>
      </c>
      <c r="AA23" s="10">
        <v>0</v>
      </c>
      <c r="AB23" s="1">
        <v>340</v>
      </c>
      <c r="AC23" s="1">
        <v>354</v>
      </c>
    </row>
    <row r="24" spans="1:29">
      <c r="A24" s="1">
        <v>23</v>
      </c>
      <c r="B24" s="5" t="s">
        <v>44</v>
      </c>
      <c r="C24" s="1">
        <v>4867.65279124503</v>
      </c>
      <c r="D24" s="1">
        <v>373</v>
      </c>
      <c r="I24">
        <v>7.19235043358056</v>
      </c>
      <c r="J24">
        <v>2.10697908568486</v>
      </c>
      <c r="K24">
        <v>0.129719060963123</v>
      </c>
      <c r="L24">
        <v>33.1632350775105</v>
      </c>
      <c r="M24">
        <v>1.98047514498355</v>
      </c>
      <c r="N24" s="1">
        <v>373</v>
      </c>
      <c r="O24" s="1">
        <v>22</v>
      </c>
      <c r="P24" s="9">
        <v>7.1</v>
      </c>
      <c r="Q24" s="9">
        <v>2</v>
      </c>
      <c r="R24" s="11">
        <v>2.03</v>
      </c>
      <c r="S24" s="11">
        <v>2.06</v>
      </c>
      <c r="T24" s="11">
        <v>0.43</v>
      </c>
      <c r="U24" s="11">
        <v>0.07</v>
      </c>
      <c r="V24" s="9">
        <v>34.9</v>
      </c>
      <c r="W24" s="9">
        <v>32.6</v>
      </c>
      <c r="X24" s="11">
        <v>1.86</v>
      </c>
      <c r="Y24" s="11">
        <v>1.99</v>
      </c>
      <c r="Z24" s="12">
        <v>0</v>
      </c>
      <c r="AA24" s="12">
        <v>0</v>
      </c>
      <c r="AB24" s="1">
        <v>359</v>
      </c>
      <c r="AC24" s="1">
        <v>359</v>
      </c>
    </row>
    <row r="25" spans="1:29">
      <c r="A25" s="1">
        <v>24</v>
      </c>
      <c r="B25" s="5" t="s">
        <v>45</v>
      </c>
      <c r="C25" s="1">
        <v>7873.54363633883</v>
      </c>
      <c r="D25" s="1">
        <v>368</v>
      </c>
      <c r="I25">
        <v>2.8806656597471</v>
      </c>
      <c r="J25">
        <v>2.08157367565056</v>
      </c>
      <c r="K25">
        <v>0.060377745153351</v>
      </c>
      <c r="L25">
        <v>33.1297341948588</v>
      </c>
      <c r="M25">
        <v>1.97212038346125</v>
      </c>
      <c r="N25" s="1">
        <v>368</v>
      </c>
      <c r="O25" s="1">
        <v>23</v>
      </c>
      <c r="P25" s="9">
        <v>2.8</v>
      </c>
      <c r="Q25" s="9">
        <v>7.2</v>
      </c>
      <c r="R25" s="11">
        <v>2.08</v>
      </c>
      <c r="S25" s="11">
        <v>2.11</v>
      </c>
      <c r="T25" s="11">
        <v>0.31</v>
      </c>
      <c r="U25" s="11">
        <v>0.13</v>
      </c>
      <c r="V25" s="9">
        <v>34.9</v>
      </c>
      <c r="W25" s="9">
        <v>33.2</v>
      </c>
      <c r="X25" s="11">
        <v>1.96</v>
      </c>
      <c r="Y25" s="11">
        <v>1.98</v>
      </c>
      <c r="Z25" s="10">
        <v>0</v>
      </c>
      <c r="AA25" s="10">
        <v>0</v>
      </c>
      <c r="AB25" s="1">
        <v>360</v>
      </c>
      <c r="AC25" s="1">
        <v>373</v>
      </c>
    </row>
    <row r="26" spans="1:29">
      <c r="A26" s="1">
        <v>25</v>
      </c>
      <c r="B26" s="5" t="s">
        <v>46</v>
      </c>
      <c r="C26" s="1">
        <v>5821.47402621726</v>
      </c>
      <c r="D26" s="1">
        <v>363</v>
      </c>
      <c r="I26">
        <v>6.18329856502587</v>
      </c>
      <c r="J26">
        <v>2.0963370602228</v>
      </c>
      <c r="K26">
        <v>0.17738320726181</v>
      </c>
      <c r="L26">
        <v>32.1539491015997</v>
      </c>
      <c r="M26">
        <v>1.89844226598253</v>
      </c>
      <c r="N26" s="1">
        <v>363</v>
      </c>
      <c r="O26" s="1">
        <v>24</v>
      </c>
      <c r="P26" s="9">
        <v>5</v>
      </c>
      <c r="Q26" s="9">
        <v>2.9</v>
      </c>
      <c r="R26" s="11">
        <v>2.07</v>
      </c>
      <c r="S26" s="11">
        <v>2.08</v>
      </c>
      <c r="T26" s="11">
        <v>0.22</v>
      </c>
      <c r="U26" s="11">
        <v>0.06</v>
      </c>
      <c r="V26" s="9">
        <v>35.8</v>
      </c>
      <c r="W26" s="9">
        <v>33.1</v>
      </c>
      <c r="X26" s="11">
        <v>1.89</v>
      </c>
      <c r="Y26" s="11">
        <v>1.97</v>
      </c>
      <c r="Z26" s="10">
        <v>0</v>
      </c>
      <c r="AA26" s="10">
        <v>0</v>
      </c>
      <c r="AB26" s="1">
        <v>356</v>
      </c>
      <c r="AC26" s="1">
        <v>368</v>
      </c>
    </row>
    <row r="27" spans="1:29">
      <c r="A27" s="1">
        <v>26</v>
      </c>
      <c r="B27" s="5" t="s">
        <v>47</v>
      </c>
      <c r="C27" s="1">
        <v>2702.37302547701</v>
      </c>
      <c r="D27" s="1">
        <v>372</v>
      </c>
      <c r="I27">
        <v>2.3709161132574</v>
      </c>
      <c r="J27">
        <v>2.03402595221996</v>
      </c>
      <c r="K27">
        <v>0.17147110402584</v>
      </c>
      <c r="L27">
        <v>32.4545258134603</v>
      </c>
      <c r="M27">
        <v>1.97908075153827</v>
      </c>
      <c r="N27" s="1">
        <v>372</v>
      </c>
      <c r="O27" s="1">
        <v>25</v>
      </c>
      <c r="P27" s="9">
        <v>6.8</v>
      </c>
      <c r="Q27" s="9">
        <v>6.2</v>
      </c>
      <c r="R27" s="11">
        <v>2.11</v>
      </c>
      <c r="S27" s="11">
        <v>2.1</v>
      </c>
      <c r="T27" s="11">
        <v>0.13</v>
      </c>
      <c r="U27" s="11">
        <v>0.18</v>
      </c>
      <c r="V27" s="9">
        <v>33.9</v>
      </c>
      <c r="W27" s="9">
        <v>32.2</v>
      </c>
      <c r="X27" s="11">
        <v>1.9</v>
      </c>
      <c r="Y27" s="11">
        <v>1.9</v>
      </c>
      <c r="Z27" s="12">
        <v>0</v>
      </c>
      <c r="AA27" s="12">
        <v>0</v>
      </c>
      <c r="AB27" s="1">
        <v>356</v>
      </c>
      <c r="AC27" s="1">
        <v>363</v>
      </c>
    </row>
    <row r="28" spans="1:29">
      <c r="A28" s="1">
        <v>27</v>
      </c>
      <c r="B28" s="5" t="s">
        <v>48</v>
      </c>
      <c r="C28" s="1">
        <v>10562.2294352938</v>
      </c>
      <c r="D28" s="1">
        <v>351</v>
      </c>
      <c r="I28">
        <v>2.4860581252223</v>
      </c>
      <c r="J28">
        <v>2.10147305183656</v>
      </c>
      <c r="K28">
        <v>0.11804962560037</v>
      </c>
      <c r="L28">
        <v>32.2594140659622</v>
      </c>
      <c r="M28">
        <v>1.91307829948203</v>
      </c>
      <c r="N28" s="1">
        <v>351</v>
      </c>
      <c r="O28" s="1">
        <v>26</v>
      </c>
      <c r="P28" s="9">
        <v>5.9</v>
      </c>
      <c r="Q28" s="9">
        <v>2.4</v>
      </c>
      <c r="R28" s="11">
        <v>2.11</v>
      </c>
      <c r="S28" s="11">
        <v>2.03</v>
      </c>
      <c r="T28" s="11">
        <v>0.34</v>
      </c>
      <c r="U28" s="11">
        <v>0.17</v>
      </c>
      <c r="V28" s="9">
        <v>36.3</v>
      </c>
      <c r="W28" s="9">
        <v>32.5</v>
      </c>
      <c r="X28" s="11">
        <v>1.92</v>
      </c>
      <c r="Y28" s="11">
        <v>1.98</v>
      </c>
      <c r="Z28" s="10">
        <v>0</v>
      </c>
      <c r="AA28" s="10">
        <v>0</v>
      </c>
      <c r="AB28" s="1">
        <v>349</v>
      </c>
      <c r="AC28" s="1">
        <v>372</v>
      </c>
    </row>
    <row r="29" spans="1:29">
      <c r="A29" s="1">
        <v>28</v>
      </c>
      <c r="B29" s="5" t="s">
        <v>49</v>
      </c>
      <c r="C29" s="1">
        <v>11051.9509115673</v>
      </c>
      <c r="D29" s="1">
        <v>339</v>
      </c>
      <c r="I29">
        <v>3.78913230521698</v>
      </c>
      <c r="J29">
        <v>2.08609390396005</v>
      </c>
      <c r="K29">
        <v>0.229401167934689</v>
      </c>
      <c r="L29">
        <v>31.426437831241</v>
      </c>
      <c r="M29">
        <v>1.75225406574266</v>
      </c>
      <c r="N29" s="1">
        <v>339</v>
      </c>
      <c r="O29" s="1">
        <v>27</v>
      </c>
      <c r="P29" s="9">
        <v>5.7</v>
      </c>
      <c r="Q29" s="9">
        <v>2.5</v>
      </c>
      <c r="R29" s="11">
        <v>2.1</v>
      </c>
      <c r="S29" s="11">
        <v>2.1</v>
      </c>
      <c r="T29" s="11">
        <v>0.4</v>
      </c>
      <c r="U29" s="11">
        <v>0.12</v>
      </c>
      <c r="V29" s="9">
        <v>37.8</v>
      </c>
      <c r="W29" s="9">
        <v>32.3</v>
      </c>
      <c r="X29" s="11">
        <v>1.85</v>
      </c>
      <c r="Y29" s="11">
        <v>1.91</v>
      </c>
      <c r="Z29" s="10">
        <v>0</v>
      </c>
      <c r="AA29" s="10">
        <v>0</v>
      </c>
      <c r="AB29" s="1">
        <v>327</v>
      </c>
      <c r="AC29" s="1">
        <v>351</v>
      </c>
    </row>
    <row r="30" spans="1:29">
      <c r="A30" s="1">
        <v>29</v>
      </c>
      <c r="B30" s="5" t="s">
        <v>50</v>
      </c>
      <c r="C30" s="1">
        <v>3408.67650501551</v>
      </c>
      <c r="D30" s="1">
        <v>392</v>
      </c>
      <c r="I30">
        <v>7.07219848617928</v>
      </c>
      <c r="J30">
        <v>2.02955294741177</v>
      </c>
      <c r="K30">
        <v>0.0295012479641572</v>
      </c>
      <c r="L30">
        <v>32.5217260774468</v>
      </c>
      <c r="M30">
        <v>1.94270486232749</v>
      </c>
      <c r="N30" s="1">
        <v>392</v>
      </c>
      <c r="O30" s="1">
        <v>28</v>
      </c>
      <c r="P30" s="9">
        <v>4.2</v>
      </c>
      <c r="Q30" s="9">
        <v>3.8</v>
      </c>
      <c r="R30" s="11">
        <v>2.09</v>
      </c>
      <c r="S30" s="11">
        <v>2.09</v>
      </c>
      <c r="T30" s="11">
        <v>0.14</v>
      </c>
      <c r="U30" s="11">
        <v>0.23</v>
      </c>
      <c r="V30" s="9">
        <v>35.5</v>
      </c>
      <c r="W30" s="9">
        <v>31.4</v>
      </c>
      <c r="X30" s="11">
        <v>1.88</v>
      </c>
      <c r="Y30" s="11">
        <v>1.75</v>
      </c>
      <c r="Z30" s="12">
        <v>0</v>
      </c>
      <c r="AA30" s="12">
        <v>0</v>
      </c>
      <c r="AB30" s="1">
        <v>353</v>
      </c>
      <c r="AC30" s="1">
        <v>339</v>
      </c>
    </row>
    <row r="31" spans="1:29">
      <c r="A31" s="1">
        <v>30</v>
      </c>
      <c r="B31" s="5" t="s">
        <v>51</v>
      </c>
      <c r="C31" s="1">
        <v>4238.0077070047</v>
      </c>
      <c r="D31" s="1">
        <v>374</v>
      </c>
      <c r="I31">
        <v>3.96198128465312</v>
      </c>
      <c r="J31">
        <v>2.07484185226945</v>
      </c>
      <c r="K31">
        <v>0.122074777209074</v>
      </c>
      <c r="L31">
        <v>32.3553156465742</v>
      </c>
      <c r="M31">
        <v>1.94112432741551</v>
      </c>
      <c r="N31" s="1">
        <v>374</v>
      </c>
      <c r="O31" s="1">
        <v>29</v>
      </c>
      <c r="P31" s="9">
        <v>6.9</v>
      </c>
      <c r="Q31" s="9">
        <v>7.1</v>
      </c>
      <c r="R31" s="11">
        <v>2.05</v>
      </c>
      <c r="S31" s="11">
        <v>2.03</v>
      </c>
      <c r="T31" s="11">
        <v>0.35</v>
      </c>
      <c r="U31" s="11">
        <v>0.03</v>
      </c>
      <c r="V31" s="9">
        <v>37.4</v>
      </c>
      <c r="W31" s="9">
        <v>32.5</v>
      </c>
      <c r="X31" s="11">
        <v>1.95</v>
      </c>
      <c r="Y31" s="11">
        <v>1.94</v>
      </c>
      <c r="Z31" s="10">
        <v>0</v>
      </c>
      <c r="AA31" s="10">
        <v>0</v>
      </c>
      <c r="AB31" s="1">
        <v>366</v>
      </c>
      <c r="AC31" s="1">
        <v>392</v>
      </c>
    </row>
    <row r="32" spans="15:29">
      <c r="O32" s="1">
        <v>30</v>
      </c>
      <c r="P32" s="9">
        <v>5.5</v>
      </c>
      <c r="Q32" s="9">
        <v>4</v>
      </c>
      <c r="R32" s="11">
        <v>2.09</v>
      </c>
      <c r="S32" s="11">
        <v>2.07</v>
      </c>
      <c r="T32" s="11">
        <v>0.19</v>
      </c>
      <c r="U32" s="11">
        <v>0.12</v>
      </c>
      <c r="V32" s="9">
        <v>39</v>
      </c>
      <c r="W32" s="9">
        <v>32.4</v>
      </c>
      <c r="X32" s="11">
        <v>1.83</v>
      </c>
      <c r="Y32" s="11">
        <v>1.94</v>
      </c>
      <c r="Z32" s="10">
        <v>0</v>
      </c>
      <c r="AA32" s="10">
        <v>0</v>
      </c>
      <c r="AB32" s="1">
        <v>331</v>
      </c>
      <c r="AC32" s="1">
        <v>374</v>
      </c>
    </row>
    <row r="33" spans="1:3">
      <c r="A33" s="2" t="s">
        <v>0</v>
      </c>
      <c r="B33" s="2" t="s">
        <v>52</v>
      </c>
      <c r="C33" s="2" t="s">
        <v>53</v>
      </c>
    </row>
    <row r="34" spans="1:27">
      <c r="A34" s="1">
        <v>1</v>
      </c>
      <c r="B34" s="5" t="s">
        <v>54</v>
      </c>
      <c r="C34" s="1">
        <v>8492.31253554171</v>
      </c>
      <c r="D34" s="1">
        <v>346</v>
      </c>
      <c r="I34">
        <v>7.78185467422008</v>
      </c>
      <c r="J34">
        <v>2.0792651772499</v>
      </c>
      <c r="K34">
        <v>0.205336213111877</v>
      </c>
      <c r="L34">
        <v>35.0136209279298</v>
      </c>
      <c r="M34">
        <v>1.84251613914966</v>
      </c>
      <c r="N34" s="1">
        <v>346</v>
      </c>
      <c r="O34" s="10" t="s">
        <v>55</v>
      </c>
      <c r="P34" s="10" t="s">
        <v>56</v>
      </c>
      <c r="Q34" s="10"/>
      <c r="R34" s="10" t="s">
        <v>20</v>
      </c>
      <c r="S34" s="10"/>
      <c r="T34" s="10" t="s">
        <v>15</v>
      </c>
      <c r="U34" s="10"/>
      <c r="V34" s="10" t="s">
        <v>18</v>
      </c>
      <c r="W34" s="10"/>
      <c r="X34" s="10" t="s">
        <v>24</v>
      </c>
      <c r="Y34" s="10"/>
      <c r="Z34" s="10" t="s">
        <v>26</v>
      </c>
      <c r="AA34" s="10"/>
    </row>
    <row r="35" spans="1:27">
      <c r="A35" s="1">
        <v>2</v>
      </c>
      <c r="B35" s="5" t="s">
        <v>57</v>
      </c>
      <c r="C35" s="1">
        <v>11575.4982034334</v>
      </c>
      <c r="D35" s="1">
        <v>361</v>
      </c>
      <c r="I35">
        <v>5.4025996865008</v>
      </c>
      <c r="J35">
        <v>2.06531684380024</v>
      </c>
      <c r="K35">
        <v>0.273254157643798</v>
      </c>
      <c r="L35">
        <v>36.2561137096223</v>
      </c>
      <c r="M35">
        <v>1.91090973395331</v>
      </c>
      <c r="N35" s="1">
        <v>361</v>
      </c>
      <c r="O35" s="10"/>
      <c r="P35" s="10" t="s">
        <v>58</v>
      </c>
      <c r="Q35" s="10" t="s">
        <v>29</v>
      </c>
      <c r="R35" s="10" t="s">
        <v>58</v>
      </c>
      <c r="S35" s="10" t="s">
        <v>29</v>
      </c>
      <c r="T35" s="10" t="s">
        <v>58</v>
      </c>
      <c r="U35" s="10" t="s">
        <v>29</v>
      </c>
      <c r="V35" s="10" t="s">
        <v>58</v>
      </c>
      <c r="W35" s="10" t="s">
        <v>29</v>
      </c>
      <c r="X35" s="10" t="s">
        <v>58</v>
      </c>
      <c r="Y35" s="10" t="s">
        <v>29</v>
      </c>
      <c r="Z35" s="10" t="s">
        <v>58</v>
      </c>
      <c r="AA35" s="10" t="s">
        <v>29</v>
      </c>
    </row>
    <row r="36" spans="1:27">
      <c r="A36" s="1">
        <v>3</v>
      </c>
      <c r="B36" s="5" t="s">
        <v>59</v>
      </c>
      <c r="C36" s="1">
        <v>8031.30197736512</v>
      </c>
      <c r="D36" s="1">
        <v>342</v>
      </c>
      <c r="I36">
        <v>5.36082133384963</v>
      </c>
      <c r="J36">
        <v>2.16160403191349</v>
      </c>
      <c r="K36">
        <v>0.202295507250283</v>
      </c>
      <c r="L36">
        <v>34.9152592985289</v>
      </c>
      <c r="M36">
        <v>1.92742485948195</v>
      </c>
      <c r="N36" s="1">
        <v>342</v>
      </c>
      <c r="O36" s="10" t="s">
        <v>5</v>
      </c>
      <c r="P36" s="11">
        <f>AVERAGE(D34:D63)</f>
        <v>350.666666666667</v>
      </c>
      <c r="Q36" s="11">
        <f>AVERAGE(C34:C63)</f>
        <v>8907.72878915904</v>
      </c>
      <c r="R36" s="11">
        <f>MEDIAN(D34:D63)</f>
        <v>356</v>
      </c>
      <c r="S36" s="11">
        <f>MEDIAN(C34:C63)</f>
        <v>8332.59880400403</v>
      </c>
      <c r="T36" s="11">
        <f>MAX(D34:D64)</f>
        <v>384</v>
      </c>
      <c r="U36" s="11">
        <f>MAX(C34:C63)</f>
        <v>21441.4719431842</v>
      </c>
      <c r="V36" s="11">
        <f>MIN(D34:D63)</f>
        <v>272</v>
      </c>
      <c r="W36" s="11">
        <f>MIN(C34:C63)</f>
        <v>3271.3748898293</v>
      </c>
      <c r="X36" s="11">
        <f>QUARTILE(D34:D63,1)</f>
        <v>343</v>
      </c>
      <c r="Y36" s="11">
        <f>QUARTILE(C34:C63,1)</f>
        <v>6423.99502489587</v>
      </c>
      <c r="Z36" s="11">
        <f>QUARTILE(D34:D63,3)</f>
        <v>361</v>
      </c>
      <c r="AA36" s="11">
        <f>QUARTILE(C34:C63,3)</f>
        <v>10717.4141448766</v>
      </c>
    </row>
    <row r="37" spans="1:27">
      <c r="A37" s="1">
        <v>4</v>
      </c>
      <c r="B37" s="5" t="s">
        <v>60</v>
      </c>
      <c r="C37" s="1">
        <v>14690.5663957642</v>
      </c>
      <c r="D37" s="1">
        <v>272</v>
      </c>
      <c r="I37">
        <v>1.646628669184</v>
      </c>
      <c r="J37">
        <v>2.3265229125069</v>
      </c>
      <c r="K37">
        <v>0.221495587352198</v>
      </c>
      <c r="L37">
        <v>33.7955274581457</v>
      </c>
      <c r="M37">
        <v>1.93888135264887</v>
      </c>
      <c r="N37" s="1">
        <v>272</v>
      </c>
      <c r="O37" s="10" t="s">
        <v>16</v>
      </c>
      <c r="P37" s="11">
        <f>AVERAGE(D2:D31)</f>
        <v>366.6</v>
      </c>
      <c r="Q37" s="11">
        <f>AVERAGE(C2:C31)</f>
        <v>5597.5326271804</v>
      </c>
      <c r="R37" s="11">
        <f>MEDIAN(D2:D31)</f>
        <v>372.5</v>
      </c>
      <c r="S37" s="11">
        <f>MEDIAN(C2:C31)</f>
        <v>4794.49995682188</v>
      </c>
      <c r="T37" s="11">
        <f>MAX(D2:D31)</f>
        <v>392</v>
      </c>
      <c r="U37" s="11">
        <f>MAX(C2:C31)</f>
        <v>14924.0873343603</v>
      </c>
      <c r="V37" s="11">
        <f>MIN(D2:D31)</f>
        <v>319</v>
      </c>
      <c r="W37" s="11">
        <f>MIN(C2:C31)</f>
        <v>2131.16477672957</v>
      </c>
      <c r="X37" s="11">
        <f>QUARTILE(D2:D31,1)</f>
        <v>356</v>
      </c>
      <c r="Y37" s="11">
        <f>QUARTILE(C2:C31,1)</f>
        <v>3481.38028426582</v>
      </c>
      <c r="Z37" s="11">
        <f>QUARTILE(D2:D31,3)</f>
        <v>378</v>
      </c>
      <c r="AA37" s="11">
        <f>QUARTILE(C2:C31,3)</f>
        <v>5943.40649167511</v>
      </c>
    </row>
    <row r="38" spans="1:14">
      <c r="A38" s="1">
        <v>5</v>
      </c>
      <c r="B38" s="5" t="s">
        <v>61</v>
      </c>
      <c r="C38" s="1">
        <v>21441.4719431842</v>
      </c>
      <c r="D38" s="1">
        <v>310</v>
      </c>
      <c r="I38">
        <v>6.52747996151447</v>
      </c>
      <c r="J38">
        <v>2.21358427405357</v>
      </c>
      <c r="K38">
        <v>0.234452456235885</v>
      </c>
      <c r="L38">
        <v>34.8795464485883</v>
      </c>
      <c r="M38">
        <v>1.85931515693664</v>
      </c>
      <c r="N38" s="1">
        <v>310</v>
      </c>
    </row>
    <row r="39" spans="1:14">
      <c r="A39" s="1">
        <v>6</v>
      </c>
      <c r="B39" s="5" t="s">
        <v>62</v>
      </c>
      <c r="C39" s="1">
        <v>4154.19305601211</v>
      </c>
      <c r="D39" s="1">
        <v>384</v>
      </c>
      <c r="I39">
        <v>7.36636577253996</v>
      </c>
      <c r="J39">
        <v>2.01050725206732</v>
      </c>
      <c r="K39">
        <v>0.190568639785836</v>
      </c>
      <c r="L39">
        <v>33.3807325967808</v>
      </c>
      <c r="M39">
        <v>1.9171683764353</v>
      </c>
      <c r="N39" s="1">
        <v>384</v>
      </c>
    </row>
    <row r="40" spans="1:14">
      <c r="A40" s="1">
        <v>7</v>
      </c>
      <c r="B40" s="5" t="s">
        <v>63</v>
      </c>
      <c r="C40" s="1">
        <v>8172.88507246635</v>
      </c>
      <c r="D40" s="1">
        <v>376</v>
      </c>
      <c r="I40">
        <v>5.8586571139054</v>
      </c>
      <c r="J40">
        <v>2.06036679760536</v>
      </c>
      <c r="K40">
        <v>0.287506454954554</v>
      </c>
      <c r="L40">
        <v>33.2589463134428</v>
      </c>
      <c r="M40">
        <v>1.95883129634056</v>
      </c>
      <c r="N40" s="1">
        <v>376</v>
      </c>
    </row>
    <row r="41" spans="1:14">
      <c r="A41" s="1">
        <v>8</v>
      </c>
      <c r="B41" s="5" t="s">
        <v>64</v>
      </c>
      <c r="C41" s="1">
        <v>9845.63076048664</v>
      </c>
      <c r="D41" s="1">
        <v>352</v>
      </c>
      <c r="I41">
        <v>6.10050609570587</v>
      </c>
      <c r="J41">
        <v>2.03329960061476</v>
      </c>
      <c r="K41">
        <v>0.848737400461967</v>
      </c>
      <c r="L41">
        <v>36.2727300349528</v>
      </c>
      <c r="M41">
        <v>1.85754963769876</v>
      </c>
      <c r="N41" s="1">
        <v>352</v>
      </c>
    </row>
    <row r="42" spans="1:14">
      <c r="A42" s="1">
        <v>9</v>
      </c>
      <c r="B42" s="5" t="s">
        <v>65</v>
      </c>
      <c r="C42" s="1">
        <v>7878.21600300962</v>
      </c>
      <c r="D42" s="1">
        <v>347</v>
      </c>
      <c r="I42">
        <v>7.65588723894867</v>
      </c>
      <c r="J42">
        <v>2.12399829872247</v>
      </c>
      <c r="K42">
        <v>0.324092971068828</v>
      </c>
      <c r="L42">
        <v>35.8898562283656</v>
      </c>
      <c r="M42">
        <v>1.94619584001589</v>
      </c>
      <c r="N42" s="1">
        <v>347</v>
      </c>
    </row>
    <row r="43" spans="1:14">
      <c r="A43" s="1">
        <v>10</v>
      </c>
      <c r="B43" s="5" t="s">
        <v>66</v>
      </c>
      <c r="C43" s="1">
        <v>12084.2637419165</v>
      </c>
      <c r="D43" s="1">
        <v>356</v>
      </c>
      <c r="I43">
        <v>5.68372840991424</v>
      </c>
      <c r="J43">
        <v>2.07443488603908</v>
      </c>
      <c r="K43">
        <v>0.665990366978737</v>
      </c>
      <c r="L43">
        <v>39.7768245240767</v>
      </c>
      <c r="M43">
        <v>1.97058780281961</v>
      </c>
      <c r="N43" s="1">
        <v>356</v>
      </c>
    </row>
    <row r="44" spans="1:14">
      <c r="A44" s="1">
        <v>11</v>
      </c>
      <c r="B44" s="5" t="s">
        <v>67</v>
      </c>
      <c r="C44" s="1">
        <v>6453.61971364438</v>
      </c>
      <c r="D44" s="1">
        <v>367</v>
      </c>
      <c r="I44">
        <v>7.83714380580931</v>
      </c>
      <c r="J44">
        <v>2.06981369224376</v>
      </c>
      <c r="K44">
        <v>0.0108964287210255</v>
      </c>
      <c r="L44">
        <v>36.7554709174645</v>
      </c>
      <c r="M44">
        <v>1.89999352488666</v>
      </c>
      <c r="N44" s="1">
        <v>367</v>
      </c>
    </row>
    <row r="45" spans="1:14">
      <c r="A45" s="1">
        <v>12</v>
      </c>
      <c r="B45" s="5" t="s">
        <v>68</v>
      </c>
      <c r="C45" s="1">
        <v>4438.38594319688</v>
      </c>
      <c r="D45" s="1">
        <v>356</v>
      </c>
      <c r="I45">
        <v>4.604840652189</v>
      </c>
      <c r="J45">
        <v>2.0515927514328</v>
      </c>
      <c r="K45">
        <v>0.339742518744877</v>
      </c>
      <c r="L45">
        <v>42.5886502004642</v>
      </c>
      <c r="M45">
        <v>1.9431120074359</v>
      </c>
      <c r="N45" s="1">
        <v>356</v>
      </c>
    </row>
    <row r="46" spans="1:14">
      <c r="A46" s="1">
        <v>13</v>
      </c>
      <c r="B46" s="5" t="s">
        <v>69</v>
      </c>
      <c r="C46" s="1">
        <v>9480.99806235788</v>
      </c>
      <c r="D46" s="1">
        <v>350</v>
      </c>
      <c r="I46">
        <v>6.33006423634102</v>
      </c>
      <c r="J46">
        <v>2.10102348941516</v>
      </c>
      <c r="K46">
        <v>0.0590955570805817</v>
      </c>
      <c r="L46">
        <v>35.3994172801526</v>
      </c>
      <c r="M46">
        <v>1.85665330773018</v>
      </c>
      <c r="N46" s="1">
        <v>350</v>
      </c>
    </row>
    <row r="47" spans="1:14">
      <c r="A47" s="1">
        <v>14</v>
      </c>
      <c r="B47" s="5" t="s">
        <v>70</v>
      </c>
      <c r="C47" s="1">
        <v>10968.4831093518</v>
      </c>
      <c r="D47" s="1">
        <v>323</v>
      </c>
      <c r="I47">
        <v>2.75691296160221</v>
      </c>
      <c r="J47">
        <v>2.16873237490654</v>
      </c>
      <c r="K47">
        <v>0.293791398406028</v>
      </c>
      <c r="L47">
        <v>37.268679305911</v>
      </c>
      <c r="M47">
        <v>1.92581988871097</v>
      </c>
      <c r="N47" s="1">
        <v>323</v>
      </c>
    </row>
    <row r="48" spans="1:14">
      <c r="A48" s="1">
        <v>15</v>
      </c>
      <c r="B48" s="5" t="s">
        <v>71</v>
      </c>
      <c r="C48" s="1">
        <v>9080.89310027721</v>
      </c>
      <c r="D48" s="1">
        <v>371</v>
      </c>
      <c r="I48">
        <v>3.75419177114963</v>
      </c>
      <c r="J48">
        <v>2.06129262391696</v>
      </c>
      <c r="K48">
        <v>0.378113470683333</v>
      </c>
      <c r="L48">
        <v>34.4729627659612</v>
      </c>
      <c r="M48">
        <v>1.96575477626174</v>
      </c>
      <c r="N48" s="1">
        <v>371</v>
      </c>
    </row>
    <row r="49" spans="1:14">
      <c r="A49" s="1">
        <v>16</v>
      </c>
      <c r="B49" s="5" t="s">
        <v>72</v>
      </c>
      <c r="C49" s="1">
        <v>5003.8546762782</v>
      </c>
      <c r="D49" s="1">
        <v>359</v>
      </c>
      <c r="I49">
        <v>3.5473579334347</v>
      </c>
      <c r="J49">
        <v>2.07873711207243</v>
      </c>
      <c r="K49">
        <v>0.231612587280187</v>
      </c>
      <c r="L49">
        <v>33.4789982577785</v>
      </c>
      <c r="M49">
        <v>1.89374636485486</v>
      </c>
      <c r="N49" s="1">
        <v>359</v>
      </c>
    </row>
    <row r="50" spans="1:14">
      <c r="A50" s="1">
        <v>17</v>
      </c>
      <c r="B50" s="5" t="s">
        <v>73</v>
      </c>
      <c r="C50" s="1">
        <v>5474.94603668512</v>
      </c>
      <c r="D50" s="1">
        <v>361</v>
      </c>
      <c r="I50">
        <v>8.67893531811675</v>
      </c>
      <c r="J50">
        <v>2.01937779541639</v>
      </c>
      <c r="K50">
        <v>0.474771920618757</v>
      </c>
      <c r="L50">
        <v>35.8159967821049</v>
      </c>
      <c r="M50">
        <v>1.89582132280176</v>
      </c>
      <c r="N50" s="1">
        <v>361</v>
      </c>
    </row>
    <row r="51" spans="1:14">
      <c r="A51" s="1">
        <v>18</v>
      </c>
      <c r="B51" s="5" t="s">
        <v>74</v>
      </c>
      <c r="C51" s="1">
        <v>3271.3748898293</v>
      </c>
      <c r="D51" s="1">
        <v>372</v>
      </c>
      <c r="I51">
        <v>6.06624200644817</v>
      </c>
      <c r="J51">
        <v>2.02148314114581</v>
      </c>
      <c r="K51">
        <v>0.360431270326559</v>
      </c>
      <c r="L51">
        <v>35.8139694596994</v>
      </c>
      <c r="M51">
        <v>1.91311200460753</v>
      </c>
      <c r="N51" s="1">
        <v>372</v>
      </c>
    </row>
    <row r="52" spans="1:14">
      <c r="A52" s="1">
        <v>19</v>
      </c>
      <c r="B52" s="5" t="s">
        <v>75</v>
      </c>
      <c r="C52" s="1">
        <v>8015.56357931842</v>
      </c>
      <c r="D52" s="1">
        <v>337</v>
      </c>
      <c r="I52">
        <v>3.64880414307117</v>
      </c>
      <c r="J52">
        <v>2.14048981666564</v>
      </c>
      <c r="K52">
        <v>0.239552244544029</v>
      </c>
      <c r="L52">
        <v>35.6670628935098</v>
      </c>
      <c r="M52">
        <v>1.90114702284336</v>
      </c>
      <c r="N52" s="1">
        <v>337</v>
      </c>
    </row>
    <row r="53" spans="1:14">
      <c r="A53" s="1">
        <v>20</v>
      </c>
      <c r="B53" s="5" t="s">
        <v>76</v>
      </c>
      <c r="C53" s="1">
        <v>8981.66842387588</v>
      </c>
      <c r="D53" s="1">
        <v>381</v>
      </c>
      <c r="I53">
        <v>8.76387922465801</v>
      </c>
      <c r="J53">
        <v>2.02295188605785</v>
      </c>
      <c r="K53">
        <v>0.268050849437713</v>
      </c>
      <c r="L53">
        <v>35.1417360752821</v>
      </c>
      <c r="M53">
        <v>1.97167900204658</v>
      </c>
      <c r="N53" s="1">
        <v>381</v>
      </c>
    </row>
    <row r="54" spans="1:14">
      <c r="A54" s="1">
        <v>21</v>
      </c>
      <c r="B54" s="5" t="s">
        <v>77</v>
      </c>
      <c r="C54" s="1">
        <v>5455.62833232809</v>
      </c>
      <c r="D54" s="1">
        <v>340</v>
      </c>
      <c r="I54">
        <v>6.07056433499338</v>
      </c>
      <c r="J54">
        <v>2.04175274831643</v>
      </c>
      <c r="K54">
        <v>0.133159460809359</v>
      </c>
      <c r="L54">
        <v>38.0993465263945</v>
      </c>
      <c r="M54">
        <v>1.77456628326951</v>
      </c>
      <c r="N54" s="1">
        <v>340</v>
      </c>
    </row>
    <row r="55" spans="1:14">
      <c r="A55" s="1">
        <v>22</v>
      </c>
      <c r="B55" s="5" t="s">
        <v>78</v>
      </c>
      <c r="C55" s="1">
        <v>6803.11359236006</v>
      </c>
      <c r="D55" s="1">
        <v>359</v>
      </c>
      <c r="I55">
        <v>7.14239390750225</v>
      </c>
      <c r="J55">
        <v>2.02740430580446</v>
      </c>
      <c r="K55">
        <v>0.426447842274354</v>
      </c>
      <c r="L55">
        <v>34.8783181449352</v>
      </c>
      <c r="M55">
        <v>1.85817911564172</v>
      </c>
      <c r="N55" s="1">
        <v>359</v>
      </c>
    </row>
    <row r="56" spans="1:14">
      <c r="A56" s="1">
        <v>23</v>
      </c>
      <c r="B56" s="5" t="s">
        <v>79</v>
      </c>
      <c r="C56" s="1">
        <v>5000.46586361183</v>
      </c>
      <c r="D56" s="1">
        <v>360</v>
      </c>
      <c r="I56">
        <v>2.82489507254165</v>
      </c>
      <c r="J56">
        <v>2.07590477883115</v>
      </c>
      <c r="K56">
        <v>0.307767554171038</v>
      </c>
      <c r="L56">
        <v>34.8988315759986</v>
      </c>
      <c r="M56">
        <v>1.95768652631291</v>
      </c>
      <c r="N56" s="1">
        <v>360</v>
      </c>
    </row>
    <row r="57" spans="1:14">
      <c r="A57" s="1">
        <v>24</v>
      </c>
      <c r="B57" s="5" t="s">
        <v>80</v>
      </c>
      <c r="C57" s="1">
        <v>11713.116359811</v>
      </c>
      <c r="D57" s="1">
        <v>356</v>
      </c>
      <c r="I57">
        <v>4.95168023151828</v>
      </c>
      <c r="J57">
        <v>2.07449247324468</v>
      </c>
      <c r="K57">
        <v>0.22058592209485</v>
      </c>
      <c r="L57">
        <v>35.766113580954</v>
      </c>
      <c r="M57">
        <v>1.88696935819532</v>
      </c>
      <c r="N57" s="1">
        <v>356</v>
      </c>
    </row>
    <row r="58" spans="1:14">
      <c r="A58" s="1">
        <v>25</v>
      </c>
      <c r="B58" s="5" t="s">
        <v>81</v>
      </c>
      <c r="C58" s="1">
        <v>6414.12012864637</v>
      </c>
      <c r="D58" s="1">
        <v>356</v>
      </c>
      <c r="I58">
        <v>6.83453078904968</v>
      </c>
      <c r="J58">
        <v>2.11079910659675</v>
      </c>
      <c r="K58">
        <v>0.130306036534688</v>
      </c>
      <c r="L58">
        <v>33.9401939082142</v>
      </c>
      <c r="M58">
        <v>1.90117191285744</v>
      </c>
      <c r="N58" s="1">
        <v>356</v>
      </c>
    </row>
    <row r="59" spans="1:14">
      <c r="A59" s="1">
        <v>26</v>
      </c>
      <c r="B59" s="5" t="s">
        <v>82</v>
      </c>
      <c r="C59" s="1">
        <v>8504.64804295589</v>
      </c>
      <c r="D59" s="1">
        <v>349</v>
      </c>
      <c r="I59">
        <v>5.91304524044665</v>
      </c>
      <c r="J59">
        <v>2.10723712706791</v>
      </c>
      <c r="K59">
        <v>0.34180701914983</v>
      </c>
      <c r="L59">
        <v>36.3226412155181</v>
      </c>
      <c r="M59">
        <v>1.92380235097757</v>
      </c>
      <c r="N59" s="1">
        <v>349</v>
      </c>
    </row>
    <row r="60" spans="1:14">
      <c r="A60" s="1">
        <v>27</v>
      </c>
      <c r="B60" s="5" t="s">
        <v>83</v>
      </c>
      <c r="C60" s="1">
        <v>17254.5112894277</v>
      </c>
      <c r="D60" s="1">
        <v>327</v>
      </c>
      <c r="I60">
        <v>5.6727196333105</v>
      </c>
      <c r="J60">
        <v>2.09678933440407</v>
      </c>
      <c r="K60">
        <v>0.398127633140371</v>
      </c>
      <c r="L60">
        <v>37.7542023149343</v>
      </c>
      <c r="M60">
        <v>1.84551201843354</v>
      </c>
      <c r="N60" s="1">
        <v>327</v>
      </c>
    </row>
    <row r="61" spans="1:14">
      <c r="A61" s="1">
        <v>28</v>
      </c>
      <c r="B61" s="5" t="s">
        <v>84</v>
      </c>
      <c r="C61" s="1">
        <v>11700.8423076777</v>
      </c>
      <c r="D61" s="1">
        <v>353</v>
      </c>
      <c r="I61">
        <v>4.1502363006988</v>
      </c>
      <c r="J61">
        <v>2.08930010647139</v>
      </c>
      <c r="K61">
        <v>0.143659623889674</v>
      </c>
      <c r="L61">
        <v>35.4805903037698</v>
      </c>
      <c r="M61">
        <v>1.8824705035219</v>
      </c>
      <c r="N61" s="1">
        <v>353</v>
      </c>
    </row>
    <row r="62" spans="1:14">
      <c r="A62" s="1">
        <v>29</v>
      </c>
      <c r="B62" s="5" t="s">
        <v>85</v>
      </c>
      <c r="C62" s="1">
        <v>6885.08328250673</v>
      </c>
      <c r="D62" s="1">
        <v>366</v>
      </c>
      <c r="I62">
        <v>6.88389353454113</v>
      </c>
      <c r="J62">
        <v>2.05360957980155</v>
      </c>
      <c r="K62">
        <v>0.348373785614967</v>
      </c>
      <c r="L62">
        <v>37.4408466368913</v>
      </c>
      <c r="M62">
        <v>1.95329345762729</v>
      </c>
      <c r="N62" s="1">
        <v>366</v>
      </c>
    </row>
    <row r="63" spans="1:14">
      <c r="A63" s="1">
        <v>30</v>
      </c>
      <c r="B63" s="5" t="s">
        <v>86</v>
      </c>
      <c r="C63" s="1">
        <v>9964.20725145106</v>
      </c>
      <c r="D63" s="1">
        <v>331</v>
      </c>
      <c r="I63">
        <v>5.51278843040602</v>
      </c>
      <c r="J63">
        <v>2.09261445475441</v>
      </c>
      <c r="K63">
        <v>0.194135008104769</v>
      </c>
      <c r="L63">
        <v>39.0282604666033</v>
      </c>
      <c r="M63">
        <v>1.82955535309032</v>
      </c>
      <c r="N63" s="1">
        <v>331</v>
      </c>
    </row>
  </sheetData>
  <mergeCells count="15">
    <mergeCell ref="P1:Q1"/>
    <mergeCell ref="R1:S1"/>
    <mergeCell ref="T1:U1"/>
    <mergeCell ref="V1:W1"/>
    <mergeCell ref="X1:Y1"/>
    <mergeCell ref="Z1:AA1"/>
    <mergeCell ref="AB1:AC1"/>
    <mergeCell ref="P34:Q34"/>
    <mergeCell ref="R34:S34"/>
    <mergeCell ref="T34:U34"/>
    <mergeCell ref="V34:W34"/>
    <mergeCell ref="X34:Y34"/>
    <mergeCell ref="Z34:AA34"/>
    <mergeCell ref="O1:O2"/>
    <mergeCell ref="O34:O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2025-06-20T07:01:00Z</dcterms:created>
  <dcterms:modified xsi:type="dcterms:W3CDTF">2025-06-21T13:42:04Z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A2A5F54BCF804B2693673DD9D5E9A6FF_12</vt:lpwstr>
  </property>
  <property fmtid="{D5CDD505-2E9C-101B-9397-08002B2CF9AE}" pid="3" name="KSOProductBuildVer">
    <vt:lpwstr>2052-12.1.0.21541</vt:lpwstr>
  </property>
</Properties>
</file>